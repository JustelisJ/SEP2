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viaucdk-my.sharepoint.com/personal/280151_viauc_dk/Documents/SEP2/Documents/Final/"/>
    </mc:Choice>
  </mc:AlternateContent>
  <xr:revisionPtr revIDLastSave="0" documentId="8_{0896C683-145E-4978-9737-8471577DD327}" xr6:coauthVersionLast="43" xr6:coauthVersionMax="43" xr10:uidLastSave="{00000000-0000-0000-0000-000000000000}"/>
  <bookViews>
    <workbookView xWindow="-2310" yWindow="-18120" windowWidth="29040" windowHeight="17640" activeTab="6" xr2:uid="{B60C6316-60A2-4DF5-9E2A-03F10D5DED01}"/>
  </bookViews>
  <sheets>
    <sheet name="Final" sheetId="1" r:id="rId1"/>
    <sheet name="Sprint 1" sheetId="4" r:id="rId2"/>
    <sheet name="Sprint 2" sheetId="5" r:id="rId3"/>
    <sheet name="Sprint 3" sheetId="6" r:id="rId4"/>
    <sheet name="Sprint 4" sheetId="7" r:id="rId5"/>
    <sheet name="Sprint 5" sheetId="8" r:id="rId6"/>
    <sheet name="r1" sheetId="2" r:id="rId7"/>
    <sheet name="r1 (2)" sheetId="9" state="hidden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1" i="5" l="1"/>
  <c r="H16" i="5"/>
  <c r="H22" i="5"/>
  <c r="H28" i="5"/>
  <c r="H34" i="5" l="1"/>
  <c r="AE15" i="9" l="1"/>
  <c r="K15" i="9"/>
  <c r="L15" i="9" s="1"/>
  <c r="M15" i="9" s="1"/>
  <c r="N15" i="9" s="1"/>
  <c r="F31" i="9"/>
  <c r="E31" i="9"/>
  <c r="D31" i="9"/>
  <c r="F28" i="9"/>
  <c r="E28" i="9"/>
  <c r="D28" i="9"/>
  <c r="F25" i="9"/>
  <c r="E25" i="9"/>
  <c r="D25" i="9"/>
  <c r="F15" i="9"/>
  <c r="E11" i="9"/>
  <c r="G13" i="1"/>
  <c r="F4" i="4"/>
  <c r="F4" i="5"/>
  <c r="F4" i="6"/>
  <c r="F4" i="7"/>
  <c r="F4" i="8"/>
  <c r="G16" i="1"/>
  <c r="D11" i="8"/>
  <c r="D23" i="7"/>
  <c r="D17" i="7"/>
  <c r="D11" i="7"/>
  <c r="D28" i="5"/>
  <c r="D22" i="5"/>
  <c r="D16" i="5"/>
  <c r="D11" i="5"/>
  <c r="D31" i="4"/>
  <c r="D23" i="4"/>
  <c r="D11" i="4"/>
  <c r="D19" i="6"/>
  <c r="G29" i="8"/>
  <c r="H29" i="8"/>
  <c r="F29" i="8"/>
  <c r="G17" i="8"/>
  <c r="H17" i="8"/>
  <c r="F17" i="8"/>
  <c r="G11" i="8"/>
  <c r="F17" i="1" s="1"/>
  <c r="H11" i="8"/>
  <c r="G17" i="1" s="1"/>
  <c r="F11" i="8"/>
  <c r="E17" i="1" s="1"/>
  <c r="G23" i="1"/>
  <c r="F23" i="1"/>
  <c r="E23" i="1"/>
  <c r="F23" i="4"/>
  <c r="G23" i="4"/>
  <c r="H23" i="4"/>
  <c r="G23" i="7"/>
  <c r="F24" i="1" s="1"/>
  <c r="H23" i="7"/>
  <c r="G24" i="1" s="1"/>
  <c r="F23" i="7"/>
  <c r="E24" i="1" s="1"/>
  <c r="G17" i="7"/>
  <c r="F20" i="1" s="1"/>
  <c r="H17" i="7"/>
  <c r="G20" i="1" s="1"/>
  <c r="F17" i="7"/>
  <c r="E20" i="1" s="1"/>
  <c r="G11" i="7"/>
  <c r="F18" i="1" s="1"/>
  <c r="H11" i="7"/>
  <c r="G18" i="1" s="1"/>
  <c r="F11" i="7"/>
  <c r="E18" i="1" s="1"/>
  <c r="G19" i="6"/>
  <c r="H19" i="6"/>
  <c r="F19" i="6"/>
  <c r="G11" i="6"/>
  <c r="F22" i="1" s="1"/>
  <c r="H11" i="6"/>
  <c r="G22" i="1" s="1"/>
  <c r="F11" i="6"/>
  <c r="E22" i="1" s="1"/>
  <c r="D11" i="6"/>
  <c r="G23" i="6"/>
  <c r="E19" i="9" s="1"/>
  <c r="H23" i="6"/>
  <c r="F23" i="6"/>
  <c r="D19" i="9" s="1"/>
  <c r="D23" i="6" l="1"/>
  <c r="C20" i="9" s="1"/>
  <c r="E20" i="9" s="1"/>
  <c r="F19" i="9"/>
  <c r="O15" i="9"/>
  <c r="P15" i="9" s="1"/>
  <c r="H38" i="8"/>
  <c r="G38" i="8"/>
  <c r="D38" i="8"/>
  <c r="F7" i="8" s="1"/>
  <c r="G3" i="8"/>
  <c r="I3" i="8" s="1"/>
  <c r="D20" i="9" l="1"/>
  <c r="C19" i="9"/>
  <c r="Q15" i="9"/>
  <c r="R15" i="9" s="1"/>
  <c r="S15" i="9" s="1"/>
  <c r="T15" i="9" s="1"/>
  <c r="U15" i="9" s="1"/>
  <c r="V15" i="9" s="1"/>
  <c r="W15" i="9" s="1"/>
  <c r="X15" i="9" s="1"/>
  <c r="Y15" i="9" s="1"/>
  <c r="Z15" i="9" s="1"/>
  <c r="AA15" i="9" s="1"/>
  <c r="AB15" i="9" s="1"/>
  <c r="AC15" i="9" s="1"/>
  <c r="AD15" i="9" s="1"/>
  <c r="H29" i="7"/>
  <c r="G29" i="7"/>
  <c r="D29" i="7"/>
  <c r="G3" i="7"/>
  <c r="I3" i="7" s="1"/>
  <c r="F19" i="2"/>
  <c r="E19" i="2"/>
  <c r="D19" i="2"/>
  <c r="G28" i="5"/>
  <c r="F28" i="5"/>
  <c r="G22" i="5"/>
  <c r="F22" i="5"/>
  <c r="C23" i="2" l="1"/>
  <c r="C22" i="2" s="1"/>
  <c r="C23" i="9"/>
  <c r="F22" i="2"/>
  <c r="F22" i="9"/>
  <c r="E22" i="2"/>
  <c r="E22" i="9"/>
  <c r="F7" i="7"/>
  <c r="C20" i="2"/>
  <c r="C19" i="2" s="1"/>
  <c r="D34" i="5"/>
  <c r="E23" i="9" l="1"/>
  <c r="D23" i="9" s="1"/>
  <c r="C22" i="9"/>
  <c r="C17" i="9"/>
  <c r="D17" i="9" s="1"/>
  <c r="E17" i="9" s="1"/>
  <c r="F17" i="9" s="1"/>
  <c r="C16" i="9"/>
  <c r="F7" i="5"/>
  <c r="C16" i="2"/>
  <c r="C15" i="2" s="1"/>
  <c r="C17" i="2"/>
  <c r="D17" i="2" s="1"/>
  <c r="E17" i="2" s="1"/>
  <c r="F17" i="2" s="1"/>
  <c r="F7" i="6"/>
  <c r="G3" i="6"/>
  <c r="I3" i="6" s="1"/>
  <c r="C15" i="9" l="1"/>
  <c r="F24" i="6"/>
  <c r="G7" i="6"/>
  <c r="F11" i="4" l="1"/>
  <c r="E11" i="1" s="1"/>
  <c r="E12" i="1"/>
  <c r="F31" i="4"/>
  <c r="E15" i="1" s="1"/>
  <c r="H11" i="4"/>
  <c r="G11" i="1" s="1"/>
  <c r="G12" i="1"/>
  <c r="H31" i="4"/>
  <c r="G15" i="1" s="1"/>
  <c r="D36" i="4"/>
  <c r="F19" i="1"/>
  <c r="F31" i="2"/>
  <c r="D31" i="2"/>
  <c r="F28" i="2"/>
  <c r="D28" i="2"/>
  <c r="F25" i="2"/>
  <c r="D25" i="2"/>
  <c r="E23" i="2"/>
  <c r="D23" i="2" s="1"/>
  <c r="E20" i="2"/>
  <c r="D20" i="2" s="1"/>
  <c r="T3" i="1"/>
  <c r="T4" i="1"/>
  <c r="T5" i="1"/>
  <c r="T6" i="1"/>
  <c r="T7" i="1"/>
  <c r="T8" i="1"/>
  <c r="T2" i="1"/>
  <c r="G31" i="4"/>
  <c r="F15" i="1" s="1"/>
  <c r="F12" i="1"/>
  <c r="F16" i="1"/>
  <c r="E16" i="1"/>
  <c r="G19" i="1"/>
  <c r="E19" i="1"/>
  <c r="F16" i="5"/>
  <c r="G16" i="5"/>
  <c r="F11" i="5"/>
  <c r="E13" i="1" s="1"/>
  <c r="G11" i="5"/>
  <c r="G3" i="5"/>
  <c r="I3" i="5" s="1"/>
  <c r="G11" i="4"/>
  <c r="G3" i="4"/>
  <c r="I3" i="4" s="1"/>
  <c r="F3" i="1"/>
  <c r="U5" i="1" s="1"/>
  <c r="C25" i="1"/>
  <c r="C13" i="2" l="1"/>
  <c r="D13" i="2" s="1"/>
  <c r="E13" i="2" s="1"/>
  <c r="F13" i="2" s="1"/>
  <c r="C32" i="9"/>
  <c r="C13" i="9"/>
  <c r="C29" i="9"/>
  <c r="E29" i="9" s="1"/>
  <c r="D29" i="9" s="1"/>
  <c r="C26" i="9"/>
  <c r="E26" i="9" s="1"/>
  <c r="D26" i="9" s="1"/>
  <c r="J9" i="9"/>
  <c r="C9" i="9"/>
  <c r="C8" i="9"/>
  <c r="T9" i="1"/>
  <c r="F7" i="4"/>
  <c r="C29" i="2"/>
  <c r="E29" i="2" s="1"/>
  <c r="D29" i="2" s="1"/>
  <c r="C26" i="2"/>
  <c r="E26" i="2" s="1"/>
  <c r="D26" i="2" s="1"/>
  <c r="F11" i="1"/>
  <c r="G36" i="4"/>
  <c r="C32" i="2"/>
  <c r="E32" i="2" s="1"/>
  <c r="D32" i="2" s="1"/>
  <c r="C12" i="2"/>
  <c r="C11" i="2" s="1"/>
  <c r="C8" i="2"/>
  <c r="D8" i="2" s="1"/>
  <c r="C9" i="2"/>
  <c r="F15" i="2"/>
  <c r="F13" i="1"/>
  <c r="G34" i="5"/>
  <c r="F34" i="5"/>
  <c r="F21" i="1"/>
  <c r="E7" i="1"/>
  <c r="E21" i="1"/>
  <c r="E25" i="1" s="1"/>
  <c r="G21" i="1"/>
  <c r="H36" i="4"/>
  <c r="F36" i="4"/>
  <c r="U2" i="1"/>
  <c r="U4" i="1"/>
  <c r="U3" i="1"/>
  <c r="H3" i="1"/>
  <c r="U8" i="1"/>
  <c r="U6" i="1"/>
  <c r="U7" i="1"/>
  <c r="E11" i="2" l="1"/>
  <c r="D11" i="9"/>
  <c r="D11" i="2"/>
  <c r="C11" i="9"/>
  <c r="C28" i="9"/>
  <c r="C31" i="9"/>
  <c r="C25" i="9"/>
  <c r="D15" i="2"/>
  <c r="D16" i="2" s="1"/>
  <c r="D15" i="9"/>
  <c r="D16" i="9" s="1"/>
  <c r="E15" i="2"/>
  <c r="E15" i="9"/>
  <c r="D8" i="9"/>
  <c r="E8" i="9"/>
  <c r="E13" i="9"/>
  <c r="F13" i="9" s="1"/>
  <c r="D13" i="9"/>
  <c r="B13" i="9"/>
  <c r="D9" i="9"/>
  <c r="E9" i="9"/>
  <c r="E32" i="9"/>
  <c r="D32" i="9"/>
  <c r="F25" i="1"/>
  <c r="K10" i="9" s="1"/>
  <c r="E8" i="2"/>
  <c r="D12" i="2"/>
  <c r="E12" i="2" s="1"/>
  <c r="G25" i="1"/>
  <c r="D9" i="2"/>
  <c r="E9" i="2"/>
  <c r="F35" i="5"/>
  <c r="G7" i="5"/>
  <c r="E4" i="1"/>
  <c r="G4" i="1" s="1"/>
  <c r="G7" i="4"/>
  <c r="E25" i="2"/>
  <c r="F11" i="2"/>
  <c r="E31" i="2"/>
  <c r="E28" i="2"/>
  <c r="C28" i="2"/>
  <c r="C25" i="2"/>
  <c r="C31" i="2"/>
  <c r="E37" i="4"/>
  <c r="E16" i="9" l="1"/>
  <c r="F16" i="9" s="1"/>
  <c r="E16" i="2"/>
  <c r="F16" i="2" s="1"/>
  <c r="E7" i="2"/>
  <c r="D7" i="2" s="1"/>
  <c r="C7" i="2" s="1"/>
  <c r="L10" i="9"/>
  <c r="E7" i="9"/>
  <c r="D7" i="9" s="1"/>
  <c r="C7" i="9" s="1"/>
  <c r="F12" i="2"/>
  <c r="F7" i="1"/>
  <c r="E26" i="1"/>
  <c r="F29" i="7"/>
  <c r="G7" i="7" l="1"/>
  <c r="D22" i="9"/>
  <c r="D22" i="2"/>
  <c r="F30" i="7"/>
  <c r="F38" i="8"/>
  <c r="G7" i="8" s="1"/>
  <c r="L9" i="9"/>
  <c r="F39" i="8" l="1"/>
  <c r="K9" i="9"/>
</calcChain>
</file>

<file path=xl/sharedStrings.xml><?xml version="1.0" encoding="utf-8"?>
<sst xmlns="http://schemas.openxmlformats.org/spreadsheetml/2006/main" count="577" uniqueCount="215">
  <si>
    <t>Group 2</t>
  </si>
  <si>
    <t>Product Backlog</t>
  </si>
  <si>
    <t>#</t>
  </si>
  <si>
    <t>ID</t>
  </si>
  <si>
    <t>Days</t>
  </si>
  <si>
    <t>Left Days</t>
  </si>
  <si>
    <t>Start Date</t>
  </si>
  <si>
    <t>End Date</t>
  </si>
  <si>
    <t>Rental Car Project</t>
  </si>
  <si>
    <t>"Europcar"</t>
  </si>
  <si>
    <t>Sprint 1</t>
  </si>
  <si>
    <t>1,2,5</t>
  </si>
  <si>
    <t>Deadline Estimate / Today</t>
  </si>
  <si>
    <t>Left days:</t>
  </si>
  <si>
    <t>Sprint 2</t>
  </si>
  <si>
    <t>How many percent are done</t>
  </si>
  <si>
    <t>Sprint 3</t>
  </si>
  <si>
    <t>?</t>
  </si>
  <si>
    <t xml:space="preserve"> </t>
  </si>
  <si>
    <t>Sprint 4</t>
  </si>
  <si>
    <t>Sprint 5</t>
  </si>
  <si>
    <t>Number of hours Estimate/Actual</t>
  </si>
  <si>
    <t>Sprint 6</t>
  </si>
  <si>
    <t>Sprint 7</t>
  </si>
  <si>
    <t>Total</t>
  </si>
  <si>
    <t>Priority</t>
  </si>
  <si>
    <t>Estimate</t>
  </si>
  <si>
    <t>Item</t>
  </si>
  <si>
    <t>Day 1</t>
  </si>
  <si>
    <t>Day 2</t>
  </si>
  <si>
    <t>Day 3</t>
  </si>
  <si>
    <t>Critical</t>
  </si>
  <si>
    <t>As a user, I want to be able to rent a car in order to drive.</t>
  </si>
  <si>
    <t>High</t>
  </si>
  <si>
    <t>As a user, I want to be able to select a certain type of vehicle in order to find a vehicle that suits my needs.</t>
  </si>
  <si>
    <t>Medium</t>
  </si>
  <si>
    <t>As a user, I want to be able to select additional services in order to ease my journey.</t>
  </si>
  <si>
    <t>Velocity Chart</t>
  </si>
  <si>
    <t>Low</t>
  </si>
  <si>
    <t>As a user, I want the system to save my credentials in order to make it easier next time renting a vehicle.</t>
  </si>
  <si>
    <t xml:space="preserve">As a user, I want to be able to select the number of days I want to rent the vehicle in order to reserve the vehicle.  </t>
  </si>
  <si>
    <t>Mid low</t>
  </si>
  <si>
    <t>As a user, I want to be able to see the pricing of different vehicles in order to select a vehicle inside my budget.</t>
  </si>
  <si>
    <t>As a user, I want to be able to cancel my reservation in order to not rent a vehicle.</t>
  </si>
  <si>
    <t>As a user, I want to be notified if changes occur to my reservation, in order to be able to change my reservation</t>
  </si>
  <si>
    <t>As a user, I want to receive a booking confirmation by email, in order to have proof of reservation.</t>
  </si>
  <si>
    <t>As an administrator, I want to be able to select the prices of different cars, in order to control prices.</t>
  </si>
  <si>
    <t>As an administrator, I want to be able to access my customers credentials in order to be able to contact them.</t>
  </si>
  <si>
    <t xml:space="preserve">As an administrator, I want to be able to see what vehicles are currently rented out, in order to see what is available. </t>
  </si>
  <si>
    <t>As an administrator, I want to be able to select extra services provided, in order to ease the journey of the customer.</t>
  </si>
  <si>
    <t>Done</t>
  </si>
  <si>
    <t>In Progres</t>
  </si>
  <si>
    <t>Not Started</t>
  </si>
  <si>
    <t>Responsible</t>
  </si>
  <si>
    <t>Justinas</t>
  </si>
  <si>
    <t>Use case diagram and description</t>
  </si>
  <si>
    <t>Sequence Diagram</t>
  </si>
  <si>
    <t>Activity Diagram</t>
  </si>
  <si>
    <t>Create a domain model</t>
  </si>
  <si>
    <t>Create a logical model</t>
  </si>
  <si>
    <t>Create the user class</t>
  </si>
  <si>
    <t>Create the car class</t>
  </si>
  <si>
    <t>Create the database</t>
  </si>
  <si>
    <t>Generate some data for testing</t>
  </si>
  <si>
    <t>Program the client renting</t>
  </si>
  <si>
    <t>Nicoleta\Dima</t>
  </si>
  <si>
    <t>Use Case Diagram</t>
  </si>
  <si>
    <t>Nicoleta</t>
  </si>
  <si>
    <t>Use Case Descrition</t>
  </si>
  <si>
    <t>Dima</t>
  </si>
  <si>
    <t>Class Diagram</t>
  </si>
  <si>
    <t xml:space="preserve">High </t>
  </si>
  <si>
    <t>Simona</t>
  </si>
  <si>
    <t>Final</t>
  </si>
  <si>
    <t>Total Actual</t>
  </si>
  <si>
    <t>Total Planned</t>
  </si>
  <si>
    <t>Session</t>
  </si>
  <si>
    <t>Date</t>
  </si>
  <si>
    <t>Content</t>
  </si>
  <si>
    <t>Preparation</t>
  </si>
  <si>
    <t>Resources and activities</t>
  </si>
  <si>
    <t>Links</t>
  </si>
  <si>
    <t>Sprint #1, day 2</t>
  </si>
  <si>
    <t>04 Apr 08:20 – 16:05</t>
  </si>
  <si>
    <r>
      <t>Every group has a </t>
    </r>
    <r>
      <rPr>
        <i/>
        <sz val="10"/>
        <color rgb="FF333333"/>
        <rFont val="Arial"/>
        <family val="2"/>
      </rPr>
      <t>Daily SCRUM meeting</t>
    </r>
    <r>
      <rPr>
        <sz val="10"/>
        <color rgb="FF333333"/>
        <rFont val="Arial"/>
        <family val="2"/>
      </rPr>
      <t>(documented outcome: updated burndown chart, log/resume if task responsible or ressources changed) See e.g.  https://agilevelocity.com/scrummaster/daily-scrum-cheat-sheet/</t>
    </r>
  </si>
  <si>
    <t>Finish your tasks</t>
  </si>
  <si>
    <t>https://agilevelocity.com/scrummaster/daily-scrum-cheat-sheet/</t>
  </si>
  <si>
    <t>Sprint #1, day 3</t>
  </si>
  <si>
    <t>11 Apr 08:20 – 16:05</t>
  </si>
  <si>
    <r>
      <t>Every group has a </t>
    </r>
    <r>
      <rPr>
        <i/>
        <sz val="10"/>
        <color rgb="FF333333"/>
        <rFont val="Arial"/>
        <family val="2"/>
      </rPr>
      <t>Daily SCRUM meeting</t>
    </r>
    <r>
      <rPr>
        <sz val="10"/>
        <color rgb="FF333333"/>
        <rFont val="Arial"/>
        <family val="2"/>
      </rPr>
      <t> (documented outcome: updated burndown chart, log/resume if task responsible or ressources changed)</t>
    </r>
  </si>
  <si>
    <t>Sprint #1 ends, Sprint #2 starts</t>
  </si>
  <si>
    <t>25 Apr 08:20 – 16:05</t>
  </si>
  <si>
    <t xml:space="preserve">Every group has a Sprint 1 review meeting (documented outcome: list of the approved or rejected product backlog items (completed/not completed) from Product owners after the presentation, updated burndown chart, Log/summary for meeting, Completed and tested code, Diagrams and documentation/work papers) a Sprint 1 retrospective meeting (documented outcome: list of aggreed start-stop-continue areas, Log/summary for meeting) some time to update the Product backlog (outcome: updated product backlog with completed items, newly rearranged items, new items, deleted items - and reestimated items and higher priority items described in more details) a Sprint 2 planning meeting (documented outcome: Sprint 2 goal, Sprint 2 Backlog including responsible person for each task, Log/summary for the meeting and expected UP phase) About review, see e.g. link  About retrospective, see e.g. link  About planning, see e.g. link  </t>
  </si>
  <si>
    <t>Finish Sprint 1 tasks - after meetings, upload documented outcome to your group folder</t>
  </si>
  <si>
    <t>https://codehollow.com/scrum-meeting-templates/sprint-review-template/
https://agilevelocity.com/scrummaster/retrospective-cheat-sheet/
https://www.leadingagile.com/2012/08/simple-cheat-sheet-to-sprint-planning-meeting/</t>
  </si>
  <si>
    <t>Sprint #2, day 2</t>
  </si>
  <si>
    <t>02 May 08:20 – 16:05</t>
  </si>
  <si>
    <t>Daily SCRUM meeting</t>
  </si>
  <si>
    <t>Sprint #2, day 3</t>
  </si>
  <si>
    <t>09 May 08:20 – 16:05</t>
  </si>
  <si>
    <t>Sprint #2, ends, Sprint #3 starts</t>
  </si>
  <si>
    <t>16 May 08:20 – 16:05</t>
  </si>
  <si>
    <t>Review meeting Retrospective meeting Update Product backlog Sprint planning meeting</t>
  </si>
  <si>
    <t>Sprint #3, day 2</t>
  </si>
  <si>
    <t>20 May 08:20 – 16:05</t>
  </si>
  <si>
    <t>Sprint #3, day 3</t>
  </si>
  <si>
    <t>21 May 08:20 – 16:05</t>
  </si>
  <si>
    <t>Sprint #3 ends, Sprint #4 starts</t>
  </si>
  <si>
    <t>22 May 08:20 – 16:05</t>
  </si>
  <si>
    <t>Sprint #4 day 2</t>
  </si>
  <si>
    <t>23 May 08:20 – 16:05</t>
  </si>
  <si>
    <t>Sprint #4, day 3</t>
  </si>
  <si>
    <t>24 May 08:20 – 16:05</t>
  </si>
  <si>
    <t>Sprint #4, ends, Sprint #5 starts</t>
  </si>
  <si>
    <t>27 May 08:20 – 16:05</t>
  </si>
  <si>
    <t>Sprint #5, day 2</t>
  </si>
  <si>
    <t>28 May 08:20 – 16:05</t>
  </si>
  <si>
    <t>Sprint #5, day 3</t>
  </si>
  <si>
    <t>29 May 08:20 – 16:05</t>
  </si>
  <si>
    <t>Sprint #5 ends, Sprint #6 starts</t>
  </si>
  <si>
    <t>30 May 08:20 – 16:05</t>
  </si>
  <si>
    <t>Sprint #6 day 2</t>
  </si>
  <si>
    <t>31 May 08:20 – 16:05</t>
  </si>
  <si>
    <t>Sprint #6, day 3</t>
  </si>
  <si>
    <t>03 Jun 08:20 – 16:05</t>
  </si>
  <si>
    <t>Sprint #6 ends, Sprint #7 starts</t>
  </si>
  <si>
    <t>04 Jun 08:20 – 16:05</t>
  </si>
  <si>
    <t>Sprint #7, day 2</t>
  </si>
  <si>
    <t>05 Jun 08:20 – 16:05</t>
  </si>
  <si>
    <t>Sprint #7, day 3</t>
  </si>
  <si>
    <t>06 Jun 08:20 – 16:05</t>
  </si>
  <si>
    <t>Final deadline (end of Sprint #7)</t>
  </si>
  <si>
    <t>07 Jun 08:20 – 16:05</t>
  </si>
  <si>
    <t>Hand-in before 12 noon</t>
  </si>
  <si>
    <t>Create  GUI</t>
  </si>
  <si>
    <t>Program the server to give car list</t>
  </si>
  <si>
    <t>As a user, I want to be able to select additional services in order to easy my journey</t>
  </si>
  <si>
    <t>Create GUI</t>
  </si>
  <si>
    <t>Update the use case diagram</t>
  </si>
  <si>
    <t>Update the sequence diagram</t>
  </si>
  <si>
    <t>Create the send an email method</t>
  </si>
  <si>
    <t>Create SMTP or implement an existing one</t>
  </si>
  <si>
    <t>Expected</t>
  </si>
  <si>
    <t>low</t>
  </si>
  <si>
    <t>Use Case diagram</t>
  </si>
  <si>
    <t>Use case description</t>
  </si>
  <si>
    <t>Implement a notification that an email is sent</t>
  </si>
  <si>
    <t>As a user, I want to be able to add money to my wallet</t>
  </si>
  <si>
    <t xml:space="preserve"> Uase case diagram</t>
  </si>
  <si>
    <t>Use case diagram</t>
  </si>
  <si>
    <t>Activity diagram</t>
  </si>
  <si>
    <t>GUI</t>
  </si>
  <si>
    <t>+</t>
  </si>
  <si>
    <t>Dima/Justinas</t>
  </si>
  <si>
    <t>Update the GUI</t>
  </si>
  <si>
    <t>Write the code</t>
  </si>
  <si>
    <t>Test</t>
  </si>
  <si>
    <t>Sql statements</t>
  </si>
  <si>
    <t>Available Cars Tab</t>
  </si>
  <si>
    <t>Booked Cars Tab</t>
  </si>
  <si>
    <t>Testing each case</t>
  </si>
  <si>
    <t>Documentation</t>
  </si>
  <si>
    <t>Create Booked tab for customers who booket at least one time</t>
  </si>
  <si>
    <t>Get Data from database and create SQL statement</t>
  </si>
  <si>
    <t>Testing</t>
  </si>
  <si>
    <t>Create Edit Cars Tab in GUI</t>
  </si>
  <si>
    <t>Implementing edit a car button and functions for this button</t>
  </si>
  <si>
    <t>Implementing add a car button and functions for this button</t>
  </si>
  <si>
    <t>SQL statements to get the useful data from the database</t>
  </si>
  <si>
    <t>Day 4</t>
  </si>
  <si>
    <t>Create connection between 4 windows in GUI(Login,Registration, Search Car Option as a Guest and Search Car Option)</t>
  </si>
  <si>
    <t>3,4,6,8,9,11</t>
  </si>
  <si>
    <t>8,10,14</t>
  </si>
  <si>
    <t>Doc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</si>
  <si>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</si>
  <si>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</si>
  <si>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</si>
  <si>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</si>
  <si>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</si>
  <si>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</si>
  <si>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</si>
  <si>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</si>
  <si>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</si>
  <si>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</si>
  <si>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</si>
  <si>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</si>
  <si>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</si>
  <si>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</si>
  <si>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</si>
  <si>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</si>
  <si>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</si>
  <si>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</si>
  <si>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Day4</t>
  </si>
  <si>
    <t>Project Report</t>
  </si>
  <si>
    <t>Process Report</t>
  </si>
  <si>
    <t>Introduction</t>
  </si>
  <si>
    <t>Group Description</t>
  </si>
  <si>
    <t>Gorup Initiation</t>
  </si>
  <si>
    <t>Group Execution</t>
  </si>
  <si>
    <t>Personal Reflection</t>
  </si>
  <si>
    <t>Supervison</t>
  </si>
  <si>
    <t>Conclusion</t>
  </si>
  <si>
    <t>Intoduction</t>
  </si>
  <si>
    <t>Requirements</t>
  </si>
  <si>
    <t>Analysis</t>
  </si>
  <si>
    <t>Design</t>
  </si>
  <si>
    <t>Implementation</t>
  </si>
  <si>
    <t>Result and Discusion</t>
  </si>
  <si>
    <t>Project Future</t>
  </si>
  <si>
    <t>Source of Information</t>
  </si>
  <si>
    <t>Appendices</t>
  </si>
  <si>
    <t>Analyze and designe</t>
  </si>
  <si>
    <t xml:space="preserve">Documentation </t>
  </si>
  <si>
    <t>BurnDown Chart</t>
  </si>
  <si>
    <t>Goup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</si>
</sst>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\ &quot;h&quot;"/>
    <numFmt numFmtId="165" formatCode="0\ &quot;h total&quot;"/>
    <numFmt numFmtId="166" formatCode="dd/mm/yy;@"/>
    <numFmt numFmtId="167" formatCode="0\ &quot;%&quot;"/>
    <numFmt numFmtId="168" formatCode="0.00\ &quot;h&quot;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i/>
      <sz val="11"/>
      <color theme="1"/>
      <name val="Calibri"/>
      <family val="2"/>
      <scheme val="minor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Arial"/>
      <family val="2"/>
    </font>
    <font>
      <i/>
      <sz val="10"/>
      <color rgb="FF333333"/>
      <name val="Arial"/>
      <family val="2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  <charset val="186"/>
    </font>
    <font>
      <sz val="11"/>
      <color theme="9"/>
      <name val="Calibri"/>
      <family val="2"/>
      <scheme val="minor"/>
    </font>
    <font>
      <sz val="11"/>
      <name val="Times New Roman"/>
      <family val="1"/>
      <charset val="186"/>
    </font>
    <font>
      <sz val="11"/>
      <color rgb="FFFF0000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  <charset val="186"/>
    </font>
    <font>
      <b/>
      <sz val="11"/>
      <name val="Times New Roman"/>
      <family val="1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ECECEC"/>
      </left>
      <right style="medium">
        <color rgb="FFECECEC"/>
      </right>
      <top style="medium">
        <color rgb="FFECECEC"/>
      </top>
      <bottom style="medium">
        <color rgb="FFECECEC"/>
      </bottom>
      <diagonal/>
    </border>
    <border>
      <left style="medium">
        <color rgb="FFECECEC"/>
      </left>
      <right style="medium">
        <color rgb="FFECECEC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69">
    <xf numFmtId="0" fontId="0" fillId="0" borderId="0" xfId="0"/>
    <xf numFmtId="0" fontId="2" fillId="0" borderId="0" xfId="0" applyFont="1"/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166" fontId="0" fillId="0" borderId="7" xfId="0" applyNumberFormat="1" applyBorder="1"/>
    <xf numFmtId="14" fontId="0" fillId="0" borderId="6" xfId="0" applyNumberFormat="1" applyBorder="1"/>
    <xf numFmtId="1" fontId="4" fillId="0" borderId="6" xfId="0" applyNumberFormat="1" applyFont="1" applyBorder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7" fillId="0" borderId="15" xfId="0" applyFont="1" applyBorder="1" applyAlignment="1">
      <alignment vertical="top" wrapText="1" indent="1"/>
    </xf>
    <xf numFmtId="0" fontId="5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 indent="1"/>
    </xf>
    <xf numFmtId="0" fontId="8" fillId="0" borderId="0" xfId="0" applyFont="1"/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 indent="1"/>
    </xf>
    <xf numFmtId="0" fontId="7" fillId="0" borderId="15" xfId="0" applyFont="1" applyBorder="1" applyAlignment="1">
      <alignment vertical="center" wrapText="1"/>
    </xf>
    <xf numFmtId="0" fontId="9" fillId="0" borderId="0" xfId="1" applyAlignment="1">
      <alignment vertical="center"/>
    </xf>
    <xf numFmtId="0" fontId="9" fillId="0" borderId="0" xfId="1" applyAlignment="1">
      <alignment horizontal="center" vertical="center" wrapText="1"/>
    </xf>
    <xf numFmtId="0" fontId="10" fillId="0" borderId="0" xfId="1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0" fontId="5" fillId="0" borderId="16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12" xfId="0" applyNumberFormat="1" applyBorder="1"/>
    <xf numFmtId="0" fontId="0" fillId="0" borderId="21" xfId="0" applyBorder="1"/>
    <xf numFmtId="164" fontId="0" fillId="0" borderId="0" xfId="0" applyNumberFormat="1" applyBorder="1"/>
    <xf numFmtId="0" fontId="14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8" fontId="14" fillId="0" borderId="0" xfId="0" applyNumberFormat="1" applyFont="1"/>
    <xf numFmtId="0" fontId="13" fillId="0" borderId="4" xfId="0" applyFont="1" applyBorder="1" applyAlignment="1">
      <alignment horizontal="left" vertical="center" wrapText="1"/>
    </xf>
    <xf numFmtId="164" fontId="15" fillId="0" borderId="4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0" xfId="0" applyBorder="1"/>
    <xf numFmtId="168" fontId="15" fillId="0" borderId="4" xfId="0" applyNumberFormat="1" applyFont="1" applyBorder="1"/>
    <xf numFmtId="168" fontId="15" fillId="0" borderId="3" xfId="0" applyNumberFormat="1" applyFont="1" applyBorder="1"/>
    <xf numFmtId="0" fontId="3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 wrapText="1"/>
    </xf>
    <xf numFmtId="0" fontId="0" fillId="0" borderId="22" xfId="0" applyBorder="1" applyAlignment="1">
      <alignment horizontal="center"/>
    </xf>
    <xf numFmtId="164" fontId="0" fillId="0" borderId="22" xfId="0" applyNumberFormat="1" applyBorder="1" applyAlignment="1">
      <alignment horizontal="center" vertical="center"/>
    </xf>
    <xf numFmtId="0" fontId="0" fillId="0" borderId="23" xfId="0" applyBorder="1"/>
    <xf numFmtId="0" fontId="0" fillId="0" borderId="2" xfId="0" applyBorder="1"/>
    <xf numFmtId="0" fontId="0" fillId="2" borderId="1" xfId="0" applyFill="1" applyBorder="1"/>
    <xf numFmtId="0" fontId="0" fillId="4" borderId="24" xfId="0" applyFill="1" applyBorder="1"/>
    <xf numFmtId="0" fontId="17" fillId="3" borderId="1" xfId="0" applyFont="1" applyFill="1" applyBorder="1"/>
    <xf numFmtId="0" fontId="3" fillId="0" borderId="0" xfId="0" applyFont="1" applyFill="1" applyAlignment="1">
      <alignment horizontal="left" vertical="center" wrapText="1"/>
    </xf>
    <xf numFmtId="0" fontId="14" fillId="0" borderId="0" xfId="0" applyFont="1" applyFill="1" applyAlignment="1">
      <alignment horizontal="left" vertical="center"/>
    </xf>
    <xf numFmtId="0" fontId="0" fillId="0" borderId="0" xfId="0" applyFill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 wrapText="1"/>
    </xf>
    <xf numFmtId="0" fontId="0" fillId="0" borderId="6" xfId="0" applyBorder="1"/>
    <xf numFmtId="1" fontId="4" fillId="0" borderId="25" xfId="0" applyNumberFormat="1" applyFont="1" applyBorder="1"/>
    <xf numFmtId="0" fontId="0" fillId="0" borderId="5" xfId="0" applyBorder="1"/>
    <xf numFmtId="0" fontId="0" fillId="0" borderId="5" xfId="0" applyFill="1" applyBorder="1"/>
    <xf numFmtId="0" fontId="0" fillId="0" borderId="26" xfId="0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27" xfId="0" applyBorder="1"/>
    <xf numFmtId="14" fontId="0" fillId="0" borderId="0" xfId="0" applyNumberFormat="1" applyBorder="1"/>
    <xf numFmtId="14" fontId="0" fillId="0" borderId="28" xfId="0" applyNumberFormat="1" applyBorder="1"/>
    <xf numFmtId="0" fontId="0" fillId="0" borderId="28" xfId="0" applyBorder="1"/>
    <xf numFmtId="0" fontId="0" fillId="0" borderId="0" xfId="0" applyAlignment="1">
      <alignment horizontal="center" wrapText="1"/>
    </xf>
    <xf numFmtId="0" fontId="0" fillId="0" borderId="25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5" xfId="0" applyBorder="1"/>
    <xf numFmtId="14" fontId="0" fillId="0" borderId="25" xfId="0" applyNumberFormat="1" applyBorder="1"/>
    <xf numFmtId="0" fontId="0" fillId="0" borderId="28" xfId="0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15" fillId="0" borderId="2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164" fontId="15" fillId="0" borderId="4" xfId="0" applyNumberFormat="1" applyFont="1" applyFill="1" applyBorder="1" applyAlignment="1">
      <alignment horizontal="center" vertical="center"/>
    </xf>
    <xf numFmtId="168" fontId="15" fillId="0" borderId="4" xfId="0" applyNumberFormat="1" applyFont="1" applyFill="1" applyBorder="1"/>
    <xf numFmtId="0" fontId="14" fillId="0" borderId="0" xfId="0" applyFont="1" applyFill="1" applyAlignment="1">
      <alignment horizontal="center" vertical="center"/>
    </xf>
    <xf numFmtId="164" fontId="14" fillId="0" borderId="0" xfId="0" applyNumberFormat="1" applyFont="1" applyFill="1" applyAlignment="1">
      <alignment horizontal="center" vertical="center"/>
    </xf>
    <xf numFmtId="168" fontId="14" fillId="0" borderId="0" xfId="0" applyNumberFormat="1" applyFont="1" applyFill="1"/>
    <xf numFmtId="168" fontId="15" fillId="0" borderId="3" xfId="0" applyNumberFormat="1" applyFont="1" applyFill="1" applyBorder="1"/>
    <xf numFmtId="0" fontId="15" fillId="0" borderId="0" xfId="0" applyFont="1" applyFill="1" applyBorder="1" applyAlignment="1">
      <alignment horizontal="center" vertical="center"/>
    </xf>
    <xf numFmtId="164" fontId="15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16" fillId="5" borderId="0" xfId="0" applyFont="1" applyFill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8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3" fillId="0" borderId="4" xfId="0" applyFont="1" applyFill="1" applyBorder="1" applyAlignment="1">
      <alignment horizontal="center" vertical="center" wrapText="1"/>
    </xf>
    <xf numFmtId="168" fontId="14" fillId="0" borderId="0" xfId="0" applyNumberFormat="1" applyFont="1" applyFill="1" applyBorder="1"/>
    <xf numFmtId="164" fontId="0" fillId="0" borderId="13" xfId="0" applyNumberFormat="1" applyBorder="1"/>
    <xf numFmtId="0" fontId="15" fillId="0" borderId="4" xfId="0" applyFont="1" applyFill="1" applyBorder="1" applyAlignment="1">
      <alignment vertical="center" wrapText="1"/>
    </xf>
    <xf numFmtId="0" fontId="14" fillId="2" borderId="0" xfId="0" applyFont="1" applyFill="1" applyAlignment="1">
      <alignment horizontal="left" vertical="center" wrapText="1"/>
    </xf>
    <xf numFmtId="0" fontId="20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2" borderId="0" xfId="0" applyFont="1" applyFill="1" applyBorder="1" applyAlignment="1">
      <alignment horizontal="left" vertical="center" wrapText="1"/>
    </xf>
    <xf numFmtId="0" fontId="14" fillId="3" borderId="0" xfId="0" applyFont="1" applyFill="1" applyBorder="1" applyAlignment="1">
      <alignment horizontal="left" vertical="center" wrapText="1"/>
    </xf>
    <xf numFmtId="0" fontId="0" fillId="2" borderId="0" xfId="0" applyFont="1" applyFill="1" applyBorder="1" applyAlignment="1">
      <alignment vertical="center" wrapText="1"/>
    </xf>
    <xf numFmtId="0" fontId="22" fillId="0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2" borderId="0" xfId="0" applyFont="1" applyFill="1" applyAlignment="1">
      <alignment horizontal="left" vertical="center" wrapText="1"/>
    </xf>
    <xf numFmtId="0" fontId="22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64" fontId="14" fillId="0" borderId="0" xfId="0" applyNumberFormat="1" applyFont="1" applyFill="1" applyBorder="1" applyAlignment="1">
      <alignment horizontal="center" vertical="center"/>
    </xf>
    <xf numFmtId="164" fontId="0" fillId="0" borderId="4" xfId="0" applyNumberFormat="1" applyFont="1" applyFill="1" applyBorder="1" applyAlignment="1">
      <alignment horizontal="center" vertical="center" wrapText="1"/>
    </xf>
    <xf numFmtId="0" fontId="23" fillId="0" borderId="0" xfId="0" applyFont="1"/>
    <xf numFmtId="0" fontId="19" fillId="0" borderId="0" xfId="0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164" fontId="19" fillId="0" borderId="0" xfId="0" applyNumberFormat="1" applyFont="1"/>
    <xf numFmtId="164" fontId="0" fillId="0" borderId="21" xfId="0" applyNumberFormat="1" applyBorder="1"/>
    <xf numFmtId="0" fontId="0" fillId="0" borderId="13" xfId="0" applyFill="1" applyBorder="1"/>
    <xf numFmtId="164" fontId="0" fillId="0" borderId="20" xfId="0" applyNumberFormat="1" applyBorder="1" applyAlignment="1"/>
    <xf numFmtId="0" fontId="0" fillId="0" borderId="18" xfId="0" applyBorder="1" applyAlignment="1"/>
    <xf numFmtId="0" fontId="0" fillId="2" borderId="0" xfId="0" applyFont="1" applyFill="1"/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167" fontId="0" fillId="0" borderId="9" xfId="0" applyNumberForma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167" fontId="0" fillId="0" borderId="7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132">
    <dxf>
      <numFmt numFmtId="164" formatCode="0\ &quot;h&quot;"/>
      <alignment horizontal="center" vertical="center" textRotation="0" wrapText="0" indent="0" justifyLastLine="0" shrinkToFit="0" readingOrder="0"/>
    </dxf>
    <dxf>
      <numFmt numFmtId="164" formatCode="0\ &quot;h&quot;"/>
      <alignment horizontal="center" vertical="center" textRotation="0" wrapText="0" indent="0" justifyLastLine="0" shrinkToFit="0" readingOrder="0"/>
    </dxf>
    <dxf>
      <numFmt numFmtId="164" formatCode="0\ &quot;h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\ &quot;h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\ &quot;h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0\ &quot;h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0\ &quot;h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0\ &quot;h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0\ &quot;h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8" formatCode="0.00\ &quot;h&quot;"/>
      <fill>
        <patternFill patternType="none">
          <fgColor indexed="64"/>
          <bgColor auto="1"/>
        </patternFill>
      </fill>
    </dxf>
    <dxf>
      <numFmt numFmtId="164" formatCode="0\ &quot;h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8" formatCode="0.00\ &quot;h&quot;"/>
      <fill>
        <patternFill patternType="none">
          <fgColor indexed="64"/>
          <bgColor auto="1"/>
        </patternFill>
      </fill>
    </dxf>
    <dxf>
      <numFmt numFmtId="164" formatCode="0\ &quot;h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8" formatCode="0.00\ &quot;h&quot;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indent="0"/>
    </dxf>
    <dxf>
      <numFmt numFmtId="164" formatCode="0\ &quot;h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4" formatCode="0\ &quot;h&quot;"/>
      <fill>
        <patternFill patternType="none">
          <fgColor indexed="64"/>
          <bgColor auto="1"/>
        </patternFill>
      </fill>
      <alignment horizontal="center" vertical="center" indent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indent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indent="0"/>
    </dxf>
    <dxf>
      <fill>
        <patternFill patternType="none">
          <fgColor rgb="FF000000"/>
          <bgColor auto="1"/>
        </patternFill>
      </fill>
      <alignment horizontal="center" vertical="center" indent="0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indent="0"/>
    </dxf>
    <dxf>
      <numFmt numFmtId="164" formatCode="0\ &quot;h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8" formatCode="0.00\ &quot;h&quot;"/>
      <fill>
        <patternFill patternType="none">
          <fgColor indexed="64"/>
          <bgColor auto="1"/>
        </patternFill>
      </fill>
    </dxf>
    <dxf>
      <numFmt numFmtId="164" formatCode="0\ &quot;h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8" formatCode="0.00\ &quot;h&quot;"/>
      <fill>
        <patternFill patternType="none">
          <fgColor indexed="64"/>
          <bgColor auto="1"/>
        </patternFill>
      </fill>
    </dxf>
    <dxf>
      <numFmt numFmtId="164" formatCode="0\ &quot;h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8" formatCode="0.00\ &quot;h&quot;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indent="0"/>
    </dxf>
    <dxf>
      <numFmt numFmtId="164" formatCode="0\ &quot;h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4" formatCode="0\ &quot;h&quot;"/>
      <fill>
        <patternFill patternType="none">
          <fgColor indexed="64"/>
          <bgColor auto="1"/>
        </patternFill>
      </fill>
      <alignment horizontal="center" vertical="center" indent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indent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indent="0"/>
    </dxf>
    <dxf>
      <fill>
        <patternFill patternType="none">
          <fgColor rgb="FF000000"/>
          <bgColor auto="1"/>
        </patternFill>
      </fill>
      <alignment horizontal="center" vertical="center" indent="0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indent="0"/>
    </dxf>
    <dxf>
      <numFmt numFmtId="164" formatCode="0\ &quot;h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8" formatCode="0.00\ &quot;h&quot;"/>
      <fill>
        <patternFill patternType="none">
          <fgColor indexed="64"/>
          <bgColor auto="1"/>
        </patternFill>
      </fill>
    </dxf>
    <dxf>
      <numFmt numFmtId="164" formatCode="0\ &quot;h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8" formatCode="0.00\ &quot;h&quot;"/>
      <fill>
        <patternFill patternType="none">
          <fgColor indexed="64"/>
          <bgColor auto="1"/>
        </patternFill>
      </fill>
    </dxf>
    <dxf>
      <numFmt numFmtId="164" formatCode="0\ &quot;h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8" formatCode="0.00\ &quot;h&quot;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indent="0"/>
    </dxf>
    <dxf>
      <numFmt numFmtId="164" formatCode="0\ &quot;h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4" formatCode="0\ &quot;h&quot;"/>
      <fill>
        <patternFill patternType="none">
          <fgColor indexed="64"/>
          <bgColor auto="1"/>
        </patternFill>
      </fill>
      <alignment horizontal="center" vertical="center" indent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indent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indent="0"/>
    </dxf>
    <dxf>
      <fill>
        <patternFill patternType="none">
          <fgColor rgb="FF000000"/>
          <bgColor auto="1"/>
        </patternFill>
      </fill>
      <alignment horizontal="center" vertical="center" indent="0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indent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8" formatCode="0.00\ &quot;h&quot;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8" formatCode="0.00\ &quot;h&quot;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8" formatCode="0.00\ &quot;h&quot;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indent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4" formatCode="0\ &quot;h&quot;"/>
      <fill>
        <patternFill patternType="none">
          <fgColor indexed="64"/>
          <bgColor auto="1"/>
        </patternFill>
      </fill>
      <alignment horizontal="center" vertical="center" inden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indent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indent="0"/>
    </dxf>
    <dxf>
      <fill>
        <patternFill patternType="none">
          <fgColor indexed="64"/>
          <bgColor auto="1"/>
        </patternFill>
      </fill>
      <alignment horizontal="center" vertical="center" indent="0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indent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8" formatCode="0.00\ &quot;h&quot;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8" formatCode="0.00\ &quot;h&quot;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8" formatCode="0.00\ &quot;h&quot;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vertical="center" indent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4" formatCode="0\ &quot;h&quot;"/>
      <alignment horizontal="center" vertical="center" inden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indent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indent="0"/>
    </dxf>
    <dxf>
      <alignment horizontal="center" vertical="center" indent="0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alignment horizontal="center" indent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164" formatCode="0\ &quot;h&quot;"/>
      <alignment horizontal="center" vertical="center" textRotation="0" wrapText="0" indent="0" justifyLastLine="0" shrinkToFit="0" readingOrder="0"/>
    </dxf>
    <dxf>
      <numFmt numFmtId="164" formatCode="0\ &quot;h&quot;"/>
    </dxf>
    <dxf>
      <numFmt numFmtId="164" formatCode="0\ &quot;h&quot;"/>
      <alignment horizontal="center" vertical="center" textRotation="0" wrapText="0" indent="0" justifyLastLine="0" shrinkToFit="0" readingOrder="0"/>
    </dxf>
    <dxf>
      <numFmt numFmtId="164" formatCode="0\ &quot;h&quot;"/>
    </dxf>
    <dxf>
      <numFmt numFmtId="164" formatCode="0\ &quot;h&quot;"/>
      <alignment horizontal="center" vertical="center" textRotation="0" wrapText="0" indent="0" justifyLastLine="0" shrinkToFit="0" readingOrder="0"/>
    </dxf>
    <dxf>
      <numFmt numFmtId="164" formatCode="0\ &quot;h&quot;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4" formatCode="0\ &quot;h&quot;"/>
      <alignment horizontal="center" vertical="center" textRotation="0" wrapText="0" indent="0" justifyLastLine="0" shrinkToFit="0" readingOrder="0"/>
    </dxf>
    <dxf>
      <numFmt numFmtId="164" formatCode="0\ &quot;h&quot;"/>
      <alignment horizontal="center" vertical="center" indent="0"/>
    </dxf>
    <dxf>
      <alignment horizontal="center" vertical="center" textRotation="0" wrapText="0" indent="0" justifyLastLine="0" shrinkToFit="0" readingOrder="0"/>
    </dxf>
    <dxf>
      <alignment horizontal="center" vertical="center" indent="0"/>
    </dxf>
    <dxf>
      <alignment horizontal="center" vertical="center" textRotation="0" wrapText="0" indent="0" justifyLastLine="0" shrinkToFit="0" readingOrder="0"/>
    </dxf>
    <dxf>
      <alignment horizontal="center" vertical="center" indent="0"/>
    </dxf>
    <dxf>
      <alignment horizontal="center" vertical="center" indent="0"/>
    </dxf>
    <dxf>
      <border outline="0">
        <top style="medium">
          <color indexed="64"/>
        </top>
      </border>
    </dxf>
    <dxf>
      <alignment horizontal="center" indent="0"/>
    </dxf>
  </dxfs>
  <tableStyles count="1" defaultTableStyle="TableStyleMedium2" defaultPivotStyle="PivotStyleLight16">
    <tableStyle name="Legend" pivot="0" count="0" xr9:uid="{8F46B3D5-C99D-4275-A19E-E78E09F6EE9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Planned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'r1'!$C$8:$F$8</c:f>
              <c:numCache>
                <c:formatCode>General</c:formatCode>
                <c:ptCount val="4"/>
                <c:pt idx="0" formatCode="0\ &quot;h&quot;">
                  <c:v>185</c:v>
                </c:pt>
                <c:pt idx="1">
                  <c:v>123.33333333333333</c:v>
                </c:pt>
                <c:pt idx="2">
                  <c:v>61.666666666666664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ED-44A9-9025-23691EBB747F}"/>
            </c:ext>
          </c:extLst>
        </c:ser>
        <c:ser>
          <c:idx val="0"/>
          <c:order val="1"/>
          <c:tx>
            <c:v>Actual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'r1'!$C$7:$F$7</c:f>
              <c:numCache>
                <c:formatCode>0\ "h"</c:formatCode>
                <c:ptCount val="4"/>
                <c:pt idx="0">
                  <c:v>183.45</c:v>
                </c:pt>
                <c:pt idx="1">
                  <c:v>103</c:v>
                </c:pt>
                <c:pt idx="2">
                  <c:v>46.25</c:v>
                </c:pt>
                <c:pt idx="3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ED-44A9-9025-23691EBB7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5730640"/>
        <c:axId val="1736756224"/>
      </c:lineChart>
      <c:catAx>
        <c:axId val="1705730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736756224"/>
        <c:crosses val="autoZero"/>
        <c:auto val="1"/>
        <c:lblAlgn val="ctr"/>
        <c:lblOffset val="100"/>
        <c:noMultiLvlLbl val="0"/>
      </c:catAx>
      <c:valAx>
        <c:axId val="173675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\ &quot;h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70573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/>
                </a:solidFill>
                <a:latin typeface="+mj-lt"/>
                <a:ea typeface="+mj-ea"/>
                <a:cs typeface="+mj-cs"/>
              </a:defRPr>
            </a:pPr>
            <a:r>
              <a:rPr lang="da-DK"/>
              <a:t>Velocity Chart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Final!$E$10</c:f>
              <c:strCache>
                <c:ptCount val="1"/>
                <c:pt idx="0">
                  <c:v>Day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Final!$E$11:$E$25</c:f>
              <c:numCache>
                <c:formatCode>0\ "h"</c:formatCode>
                <c:ptCount val="14"/>
                <c:pt idx="0">
                  <c:v>15</c:v>
                </c:pt>
                <c:pt idx="1">
                  <c:v>10</c:v>
                </c:pt>
                <c:pt idx="2">
                  <c:v>3.2</c:v>
                </c:pt>
                <c:pt idx="4">
                  <c:v>5</c:v>
                </c:pt>
                <c:pt idx="5">
                  <c:v>2.5</c:v>
                </c:pt>
                <c:pt idx="6">
                  <c:v>5</c:v>
                </c:pt>
                <c:pt idx="7">
                  <c:v>7</c:v>
                </c:pt>
                <c:pt idx="8">
                  <c:v>4.25</c:v>
                </c:pt>
                <c:pt idx="9">
                  <c:v>7</c:v>
                </c:pt>
                <c:pt idx="10">
                  <c:v>4.5</c:v>
                </c:pt>
                <c:pt idx="11">
                  <c:v>8</c:v>
                </c:pt>
                <c:pt idx="12">
                  <c:v>1</c:v>
                </c:pt>
                <c:pt idx="1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5-41F0-963F-199B48465F7D}"/>
            </c:ext>
          </c:extLst>
        </c:ser>
        <c:ser>
          <c:idx val="1"/>
          <c:order val="1"/>
          <c:tx>
            <c:strRef>
              <c:f>Final!$F$10</c:f>
              <c:strCache>
                <c:ptCount val="1"/>
                <c:pt idx="0">
                  <c:v>Day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Final!$F$11:$F$25</c:f>
              <c:numCache>
                <c:formatCode>0\ "h"</c:formatCode>
                <c:ptCount val="14"/>
                <c:pt idx="0">
                  <c:v>8</c:v>
                </c:pt>
                <c:pt idx="1">
                  <c:v>8</c:v>
                </c:pt>
                <c:pt idx="2">
                  <c:v>0.75</c:v>
                </c:pt>
                <c:pt idx="4">
                  <c:v>4.5</c:v>
                </c:pt>
                <c:pt idx="5">
                  <c:v>3</c:v>
                </c:pt>
                <c:pt idx="6">
                  <c:v>2</c:v>
                </c:pt>
                <c:pt idx="7">
                  <c:v>5</c:v>
                </c:pt>
                <c:pt idx="8">
                  <c:v>2</c:v>
                </c:pt>
                <c:pt idx="9">
                  <c:v>4</c:v>
                </c:pt>
                <c:pt idx="10">
                  <c:v>2.5</c:v>
                </c:pt>
                <c:pt idx="11">
                  <c:v>6</c:v>
                </c:pt>
                <c:pt idx="12">
                  <c:v>8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5-41F0-963F-199B48465F7D}"/>
            </c:ext>
          </c:extLst>
        </c:ser>
        <c:ser>
          <c:idx val="2"/>
          <c:order val="2"/>
          <c:tx>
            <c:strRef>
              <c:f>Final!$G$10</c:f>
              <c:strCache>
                <c:ptCount val="1"/>
                <c:pt idx="0">
                  <c:v>Day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Final!$G$11:$G$25</c:f>
              <c:numCache>
                <c:formatCode>0\ "h"</c:formatCode>
                <c:ptCount val="14"/>
                <c:pt idx="0">
                  <c:v>9</c:v>
                </c:pt>
                <c:pt idx="1">
                  <c:v>6.5</c:v>
                </c:pt>
                <c:pt idx="2">
                  <c:v>0.75</c:v>
                </c:pt>
                <c:pt idx="4">
                  <c:v>3.5</c:v>
                </c:pt>
                <c:pt idx="5">
                  <c:v>1.5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5.5</c:v>
                </c:pt>
                <c:pt idx="12">
                  <c:v>6.5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5-41F0-963F-199B48465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5110608"/>
        <c:axId val="1526184352"/>
      </c:barChart>
      <c:catAx>
        <c:axId val="142511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26184352"/>
        <c:crosses val="autoZero"/>
        <c:auto val="1"/>
        <c:lblAlgn val="ctr"/>
        <c:lblOffset val="100"/>
        <c:noMultiLvlLbl val="1"/>
      </c:catAx>
      <c:valAx>
        <c:axId val="152618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\ &quot;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4251106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</c:dTable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dk1"/>
          </a:solidFill>
        </a:defRPr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>
        <c:manualLayout>
          <c:layoutTarget val="inner"/>
          <c:xMode val="edge"/>
          <c:yMode val="edge"/>
          <c:x val="0.17144643759111053"/>
          <c:y val="0.13653089747813743"/>
          <c:w val="0.82855356240888944"/>
          <c:h val="0.69903072559171553"/>
        </c:manualLayout>
      </c:layout>
      <c:lineChart>
        <c:grouping val="stacked"/>
        <c:varyColors val="0"/>
        <c:ser>
          <c:idx val="1"/>
          <c:order val="0"/>
          <c:tx>
            <c:v>Planned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'r1'!$C$13:$F$13</c:f>
              <c:numCache>
                <c:formatCode>0\ "h"</c:formatCode>
                <c:ptCount val="4"/>
                <c:pt idx="0">
                  <c:v>55</c:v>
                </c:pt>
                <c:pt idx="1">
                  <c:v>36.666666666666671</c:v>
                </c:pt>
                <c:pt idx="2">
                  <c:v>18.333333333333339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DF-4BB8-AFD5-9663236663CA}"/>
            </c:ext>
          </c:extLst>
        </c:ser>
        <c:ser>
          <c:idx val="0"/>
          <c:order val="1"/>
          <c:tx>
            <c:v>Actual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'r1'!$C$12:$F$12</c:f>
              <c:numCache>
                <c:formatCode>0\ "h"</c:formatCode>
                <c:ptCount val="4"/>
                <c:pt idx="0">
                  <c:v>55</c:v>
                </c:pt>
                <c:pt idx="1">
                  <c:v>25</c:v>
                </c:pt>
                <c:pt idx="2">
                  <c:v>4.5</c:v>
                </c:pt>
                <c:pt idx="3">
                  <c:v>-14.5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DF-4BB8-AFD5-966323666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5730640"/>
        <c:axId val="1736756224"/>
      </c:lineChart>
      <c:catAx>
        <c:axId val="1705730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736756224"/>
        <c:crosses val="autoZero"/>
        <c:auto val="1"/>
        <c:lblAlgn val="ctr"/>
        <c:lblOffset val="100"/>
        <c:noMultiLvlLbl val="0"/>
      </c:catAx>
      <c:valAx>
        <c:axId val="173675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\ &quot;h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70573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/>
                </a:solidFill>
                <a:latin typeface="+mj-lt"/>
                <a:ea typeface="+mj-ea"/>
                <a:cs typeface="+mj-cs"/>
              </a:defRPr>
            </a:pPr>
            <a:r>
              <a:rPr lang="da-DK"/>
              <a:t>Velocity Chart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'Sprint 1'!$F$10</c:f>
              <c:strCache>
                <c:ptCount val="1"/>
                <c:pt idx="0">
                  <c:v>Day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('Sprint 1'!$F$11,'Sprint 1'!$F$23,'Sprint 1'!$F$31)</c:f>
              <c:numCache>
                <c:formatCode>0.00\ "h"</c:formatCode>
                <c:ptCount val="3"/>
                <c:pt idx="0">
                  <c:v>15</c:v>
                </c:pt>
                <c:pt idx="1">
                  <c:v>10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7-422D-914F-60056F0C2E51}"/>
            </c:ext>
          </c:extLst>
        </c:ser>
        <c:ser>
          <c:idx val="1"/>
          <c:order val="1"/>
          <c:tx>
            <c:strRef>
              <c:f>'Sprint 1'!$G$10</c:f>
              <c:strCache>
                <c:ptCount val="1"/>
                <c:pt idx="0">
                  <c:v>Day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('Sprint 1'!$G$11,'Sprint 1'!$G$23,'Sprint 1'!$G$31)</c:f>
              <c:numCache>
                <c:formatCode>0.00\ "h"</c:formatCode>
                <c:ptCount val="3"/>
                <c:pt idx="0">
                  <c:v>8</c:v>
                </c:pt>
                <c:pt idx="1">
                  <c:v>8</c:v>
                </c:pt>
                <c:pt idx="2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A7-422D-914F-60056F0C2E51}"/>
            </c:ext>
          </c:extLst>
        </c:ser>
        <c:ser>
          <c:idx val="2"/>
          <c:order val="2"/>
          <c:tx>
            <c:strRef>
              <c:f>'Sprint 1'!$H$10</c:f>
              <c:strCache>
                <c:ptCount val="1"/>
                <c:pt idx="0">
                  <c:v>Day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('Sprint 1'!$H$11,'Sprint 1'!$H$23,'Sprint 1'!$H$31)</c:f>
              <c:numCache>
                <c:formatCode>0.00\ "h"</c:formatCode>
                <c:ptCount val="3"/>
                <c:pt idx="0">
                  <c:v>9</c:v>
                </c:pt>
                <c:pt idx="1">
                  <c:v>6.5</c:v>
                </c:pt>
                <c:pt idx="2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A7-422D-914F-60056F0C2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5110608"/>
        <c:axId val="1526184352"/>
      </c:barChart>
      <c:catAx>
        <c:axId val="142511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26184352"/>
        <c:crosses val="autoZero"/>
        <c:auto val="1"/>
        <c:lblAlgn val="ctr"/>
        <c:lblOffset val="100"/>
        <c:noMultiLvlLbl val="1"/>
      </c:catAx>
      <c:valAx>
        <c:axId val="152618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\ &quot;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42511060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dk1"/>
          </a:solidFill>
        </a:defRPr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>
        <c:manualLayout>
          <c:layoutTarget val="inner"/>
          <c:xMode val="edge"/>
          <c:yMode val="edge"/>
          <c:x val="0.17144643759111053"/>
          <c:y val="0.13653089747813743"/>
          <c:w val="0.82855356240888944"/>
          <c:h val="0.69903072559171553"/>
        </c:manualLayout>
      </c:layout>
      <c:lineChart>
        <c:grouping val="standard"/>
        <c:varyColors val="0"/>
        <c:ser>
          <c:idx val="1"/>
          <c:order val="0"/>
          <c:tx>
            <c:v>Planned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'r1'!$C$17:$F$17</c:f>
              <c:numCache>
                <c:formatCode>0\ "h"</c:formatCode>
                <c:ptCount val="4"/>
                <c:pt idx="0">
                  <c:v>60</c:v>
                </c:pt>
                <c:pt idx="1">
                  <c:v>40</c:v>
                </c:pt>
                <c:pt idx="2">
                  <c:v>20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58-49A8-A423-01B6EF553F5D}"/>
            </c:ext>
          </c:extLst>
        </c:ser>
        <c:ser>
          <c:idx val="0"/>
          <c:order val="1"/>
          <c:tx>
            <c:v>Actual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'r1'!$C$16:$F$16</c:f>
              <c:numCache>
                <c:formatCode>0\ "h"</c:formatCode>
                <c:ptCount val="4"/>
                <c:pt idx="0">
                  <c:v>60</c:v>
                </c:pt>
                <c:pt idx="1">
                  <c:v>45.55</c:v>
                </c:pt>
                <c:pt idx="2">
                  <c:v>37.299999999999997</c:v>
                </c:pt>
                <c:pt idx="3">
                  <c:v>31.049999999999997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58-49A8-A423-01B6EF553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5730640"/>
        <c:axId val="1736756224"/>
      </c:lineChart>
      <c:catAx>
        <c:axId val="1705730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736756224"/>
        <c:crosses val="autoZero"/>
        <c:auto val="1"/>
        <c:lblAlgn val="ctr"/>
        <c:lblOffset val="100"/>
        <c:noMultiLvlLbl val="0"/>
      </c:catAx>
      <c:valAx>
        <c:axId val="173675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\ &quot;h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70573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Velocity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'Sprint 2'!$F$10</c:f>
              <c:strCache>
                <c:ptCount val="1"/>
                <c:pt idx="0">
                  <c:v>Day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('Sprint 2'!$F$11,'Sprint 2'!$F$16,'Sprint 2'!$F$22,'Sprint 2'!$F$28)</c:f>
              <c:numCache>
                <c:formatCode>0.00\ "h"</c:formatCode>
                <c:ptCount val="4"/>
                <c:pt idx="0">
                  <c:v>3.2</c:v>
                </c:pt>
                <c:pt idx="1">
                  <c:v>4.5</c:v>
                </c:pt>
                <c:pt idx="2">
                  <c:v>2.5</c:v>
                </c:pt>
                <c:pt idx="3">
                  <c:v>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5-4B31-B9D7-30F9BB79CEF3}"/>
            </c:ext>
          </c:extLst>
        </c:ser>
        <c:ser>
          <c:idx val="1"/>
          <c:order val="1"/>
          <c:tx>
            <c:strRef>
              <c:f>'Sprint 2'!$G$10</c:f>
              <c:strCache>
                <c:ptCount val="1"/>
                <c:pt idx="0">
                  <c:v>Day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('Sprint 2'!$G$11,'Sprint 2'!$G$16,'Sprint 2'!$G$22,'Sprint 2'!$G$28)</c:f>
              <c:numCache>
                <c:formatCode>0.00\ "h"</c:formatCode>
                <c:ptCount val="4"/>
                <c:pt idx="0">
                  <c:v>0.75</c:v>
                </c:pt>
                <c:pt idx="1">
                  <c:v>2.5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E5-4B31-B9D7-30F9BB79CEF3}"/>
            </c:ext>
          </c:extLst>
        </c:ser>
        <c:ser>
          <c:idx val="2"/>
          <c:order val="2"/>
          <c:tx>
            <c:strRef>
              <c:f>'Sprint 2'!$H$10</c:f>
              <c:strCache>
                <c:ptCount val="1"/>
                <c:pt idx="0">
                  <c:v>Day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('Sprint 2'!$H$11,'Sprint 2'!$H$16,'Sprint 2'!$H$22,'Sprint 2'!$H$28)</c:f>
              <c:numCache>
                <c:formatCode>0.00\ "h"</c:formatCode>
                <c:ptCount val="4"/>
                <c:pt idx="0">
                  <c:v>0.75</c:v>
                </c:pt>
                <c:pt idx="1">
                  <c:v>3</c:v>
                </c:pt>
                <c:pt idx="2">
                  <c:v>1.5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E5-4B31-B9D7-30F9BB79C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5110608"/>
        <c:axId val="1526184352"/>
      </c:barChart>
      <c:catAx>
        <c:axId val="142511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26184352"/>
        <c:crosses val="autoZero"/>
        <c:auto val="1"/>
        <c:lblAlgn val="ctr"/>
        <c:lblOffset val="100"/>
        <c:noMultiLvlLbl val="1"/>
      </c:catAx>
      <c:valAx>
        <c:axId val="152618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.00\ &quot;h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42511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>
        <c:manualLayout>
          <c:layoutTarget val="inner"/>
          <c:xMode val="edge"/>
          <c:yMode val="edge"/>
          <c:x val="0.17144643759111053"/>
          <c:y val="0.13653089747813743"/>
          <c:w val="0.82855356240888944"/>
          <c:h val="0.69903072559171553"/>
        </c:manualLayout>
      </c:layout>
      <c:lineChart>
        <c:grouping val="standard"/>
        <c:varyColors val="0"/>
        <c:ser>
          <c:idx val="1"/>
          <c:order val="0"/>
          <c:tx>
            <c:v>Planned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'r1'!$C$16:$F$16</c:f>
              <c:numCache>
                <c:formatCode>0\ "h"</c:formatCode>
                <c:ptCount val="4"/>
                <c:pt idx="0">
                  <c:v>60</c:v>
                </c:pt>
                <c:pt idx="1">
                  <c:v>45.55</c:v>
                </c:pt>
                <c:pt idx="2">
                  <c:v>37.299999999999997</c:v>
                </c:pt>
                <c:pt idx="3">
                  <c:v>31.049999999999997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DC-4564-998F-7CB4023329CB}"/>
            </c:ext>
          </c:extLst>
        </c:ser>
        <c:ser>
          <c:idx val="0"/>
          <c:order val="1"/>
          <c:tx>
            <c:v>Actual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'r1'!$C$15:$F$15</c:f>
              <c:numCache>
                <c:formatCode>0\ "h"</c:formatCode>
                <c:ptCount val="4"/>
                <c:pt idx="0">
                  <c:v>60</c:v>
                </c:pt>
                <c:pt idx="1">
                  <c:v>14.45</c:v>
                </c:pt>
                <c:pt idx="2">
                  <c:v>8.25</c:v>
                </c:pt>
                <c:pt idx="3">
                  <c:v>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DC-4564-998F-7CB402332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5730640"/>
        <c:axId val="1736756224"/>
      </c:lineChart>
      <c:catAx>
        <c:axId val="1705730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736756224"/>
        <c:crosses val="autoZero"/>
        <c:auto val="1"/>
        <c:lblAlgn val="ctr"/>
        <c:lblOffset val="100"/>
        <c:noMultiLvlLbl val="0"/>
      </c:catAx>
      <c:valAx>
        <c:axId val="173675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\ &quot;h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70573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/>
                </a:solidFill>
                <a:latin typeface="+mj-lt"/>
                <a:ea typeface="+mj-ea"/>
                <a:cs typeface="+mj-cs"/>
              </a:defRPr>
            </a:pPr>
            <a:r>
              <a:rPr lang="da-DK"/>
              <a:t>Velocity Chart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'Sprint 3'!$F$10</c:f>
              <c:strCache>
                <c:ptCount val="1"/>
                <c:pt idx="0">
                  <c:v>Day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('Sprint 3'!$F$11,'Sprint 3'!$F$19)</c:f>
              <c:numCache>
                <c:formatCode>0.00\ "h"</c:formatCode>
                <c:ptCount val="2"/>
                <c:pt idx="0">
                  <c:v>8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4-45BD-9281-638806118147}"/>
            </c:ext>
          </c:extLst>
        </c:ser>
        <c:ser>
          <c:idx val="1"/>
          <c:order val="1"/>
          <c:tx>
            <c:strRef>
              <c:f>'Sprint 3'!$G$10</c:f>
              <c:strCache>
                <c:ptCount val="1"/>
                <c:pt idx="0">
                  <c:v>Day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('Sprint 3'!$G$11,'Sprint 3'!$G$19)</c:f>
              <c:numCache>
                <c:formatCode>0.00\ "h"</c:formatCode>
                <c:ptCount val="2"/>
                <c:pt idx="0">
                  <c:v>6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F4-45BD-9281-638806118147}"/>
            </c:ext>
          </c:extLst>
        </c:ser>
        <c:ser>
          <c:idx val="2"/>
          <c:order val="2"/>
          <c:tx>
            <c:strRef>
              <c:f>'Sprint 3'!$H$10</c:f>
              <c:strCache>
                <c:ptCount val="1"/>
                <c:pt idx="0">
                  <c:v>Day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('Sprint 3'!$H$11,'Sprint 3'!$H$19)</c:f>
              <c:numCache>
                <c:formatCode>0.00\ "h"</c:formatCode>
                <c:ptCount val="2"/>
                <c:pt idx="0">
                  <c:v>5.5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F4-45BD-9281-638806118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5110608"/>
        <c:axId val="1526184352"/>
      </c:barChart>
      <c:catAx>
        <c:axId val="142511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26184352"/>
        <c:crosses val="autoZero"/>
        <c:auto val="1"/>
        <c:lblAlgn val="ctr"/>
        <c:lblOffset val="100"/>
        <c:noMultiLvlLbl val="1"/>
      </c:catAx>
      <c:valAx>
        <c:axId val="152618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\ &quot;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42511060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dk1"/>
          </a:solidFill>
        </a:defRPr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>
        <c:manualLayout>
          <c:layoutTarget val="inner"/>
          <c:xMode val="edge"/>
          <c:yMode val="edge"/>
          <c:x val="0.17144643759111053"/>
          <c:y val="0.13653089747813743"/>
          <c:w val="0.82855356240888944"/>
          <c:h val="0.69903072559171553"/>
        </c:manualLayout>
      </c:layout>
      <c:lineChart>
        <c:grouping val="standard"/>
        <c:varyColors val="0"/>
        <c:ser>
          <c:idx val="1"/>
          <c:order val="0"/>
          <c:tx>
            <c:v>Planned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'r1'!$C$16:$F$16</c:f>
              <c:numCache>
                <c:formatCode>0\ "h"</c:formatCode>
                <c:ptCount val="4"/>
                <c:pt idx="0">
                  <c:v>60</c:v>
                </c:pt>
                <c:pt idx="1">
                  <c:v>45.55</c:v>
                </c:pt>
                <c:pt idx="2">
                  <c:v>37.299999999999997</c:v>
                </c:pt>
                <c:pt idx="3">
                  <c:v>31.049999999999997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DA-4E0F-9F8F-1D7787724826}"/>
            </c:ext>
          </c:extLst>
        </c:ser>
        <c:ser>
          <c:idx val="0"/>
          <c:order val="1"/>
          <c:tx>
            <c:v>Actual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'r1'!$C$15:$F$15</c:f>
              <c:numCache>
                <c:formatCode>0\ "h"</c:formatCode>
                <c:ptCount val="4"/>
                <c:pt idx="0">
                  <c:v>60</c:v>
                </c:pt>
                <c:pt idx="1">
                  <c:v>14.45</c:v>
                </c:pt>
                <c:pt idx="2">
                  <c:v>8.25</c:v>
                </c:pt>
                <c:pt idx="3">
                  <c:v>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DA-4E0F-9F8F-1D7787724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5730640"/>
        <c:axId val="1736756224"/>
      </c:lineChart>
      <c:catAx>
        <c:axId val="1705730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736756224"/>
        <c:crosses val="autoZero"/>
        <c:auto val="1"/>
        <c:lblAlgn val="ctr"/>
        <c:lblOffset val="100"/>
        <c:noMultiLvlLbl val="0"/>
      </c:catAx>
      <c:valAx>
        <c:axId val="173675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\ &quot;h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70573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/>
                </a:solidFill>
                <a:latin typeface="+mj-lt"/>
                <a:ea typeface="+mj-ea"/>
                <a:cs typeface="+mj-cs"/>
              </a:defRPr>
            </a:pPr>
            <a:r>
              <a:rPr lang="da-DK"/>
              <a:t>Velocity Chart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'Sprint 4'!$F$10</c:f>
              <c:strCache>
                <c:ptCount val="1"/>
                <c:pt idx="0">
                  <c:v>Day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('Sprint 4'!$F$11,'Sprint 4'!$F$17,'Sprint 4'!$F$23)</c:f>
              <c:numCache>
                <c:formatCode>0.00\ "h"</c:formatCode>
                <c:ptCount val="3"/>
                <c:pt idx="0">
                  <c:v>7</c:v>
                </c:pt>
                <c:pt idx="1">
                  <c:v>7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A-438F-A5FC-8D5794215A0E}"/>
            </c:ext>
          </c:extLst>
        </c:ser>
        <c:ser>
          <c:idx val="1"/>
          <c:order val="1"/>
          <c:tx>
            <c:strRef>
              <c:f>'Sprint 4'!$G$10</c:f>
              <c:strCache>
                <c:ptCount val="1"/>
                <c:pt idx="0">
                  <c:v>Day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('Sprint 4'!$G$11,'Sprint 4'!$G$17,'Sprint 4'!$G$23)</c:f>
              <c:numCache>
                <c:formatCode>0.00\ "h"</c:formatCode>
                <c:ptCount val="3"/>
                <c:pt idx="0">
                  <c:v>5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BA-438F-A5FC-8D5794215A0E}"/>
            </c:ext>
          </c:extLst>
        </c:ser>
        <c:ser>
          <c:idx val="2"/>
          <c:order val="2"/>
          <c:tx>
            <c:strRef>
              <c:f>'Sprint 4'!$H$10</c:f>
              <c:strCache>
                <c:ptCount val="1"/>
                <c:pt idx="0">
                  <c:v>Day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('Sprint 4'!$H$11,'Sprint 4'!$H$17,'Sprint 4'!$H$23)</c:f>
              <c:numCache>
                <c:formatCode>0.00\ "h"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BA-438F-A5FC-8D5794215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5110608"/>
        <c:axId val="1526184352"/>
      </c:barChart>
      <c:catAx>
        <c:axId val="142511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26184352"/>
        <c:crosses val="autoZero"/>
        <c:auto val="1"/>
        <c:lblAlgn val="ctr"/>
        <c:lblOffset val="100"/>
        <c:noMultiLvlLbl val="1"/>
      </c:catAx>
      <c:valAx>
        <c:axId val="152618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\ &quot;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42511060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dk1"/>
          </a:solidFill>
        </a:defRPr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>
        <c:manualLayout>
          <c:layoutTarget val="inner"/>
          <c:xMode val="edge"/>
          <c:yMode val="edge"/>
          <c:x val="0.17144643759111053"/>
          <c:y val="0.13653089747813743"/>
          <c:w val="0.82855356240888944"/>
          <c:h val="0.69903072559171553"/>
        </c:manualLayout>
      </c:layout>
      <c:lineChart>
        <c:grouping val="standard"/>
        <c:varyColors val="0"/>
        <c:ser>
          <c:idx val="1"/>
          <c:order val="0"/>
          <c:tx>
            <c:v>Planned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'r1'!$C$16:$F$16</c:f>
              <c:numCache>
                <c:formatCode>0\ "h"</c:formatCode>
                <c:ptCount val="4"/>
                <c:pt idx="0">
                  <c:v>60</c:v>
                </c:pt>
                <c:pt idx="1">
                  <c:v>45.55</c:v>
                </c:pt>
                <c:pt idx="2">
                  <c:v>37.299999999999997</c:v>
                </c:pt>
                <c:pt idx="3">
                  <c:v>31.049999999999997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B6-411E-9F95-DC074451BCFA}"/>
            </c:ext>
          </c:extLst>
        </c:ser>
        <c:ser>
          <c:idx val="0"/>
          <c:order val="1"/>
          <c:tx>
            <c:v>Actual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'r1'!$C$15:$F$15</c:f>
              <c:numCache>
                <c:formatCode>0\ "h"</c:formatCode>
                <c:ptCount val="4"/>
                <c:pt idx="0">
                  <c:v>60</c:v>
                </c:pt>
                <c:pt idx="1">
                  <c:v>14.45</c:v>
                </c:pt>
                <c:pt idx="2">
                  <c:v>8.25</c:v>
                </c:pt>
                <c:pt idx="3">
                  <c:v>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B6-411E-9F95-DC074451B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5730640"/>
        <c:axId val="1736756224"/>
      </c:lineChart>
      <c:catAx>
        <c:axId val="1705730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736756224"/>
        <c:crosses val="autoZero"/>
        <c:auto val="1"/>
        <c:lblAlgn val="ctr"/>
        <c:lblOffset val="100"/>
        <c:noMultiLvlLbl val="0"/>
      </c:catAx>
      <c:valAx>
        <c:axId val="173675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\ &quot;h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70573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/>
                </a:solidFill>
                <a:latin typeface="+mj-lt"/>
                <a:ea typeface="+mj-ea"/>
                <a:cs typeface="+mj-cs"/>
              </a:defRPr>
            </a:pPr>
            <a:r>
              <a:rPr lang="da-DK"/>
              <a:t>Velocity Chart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'Sprint 5'!$F$10</c:f>
              <c:strCache>
                <c:ptCount val="1"/>
                <c:pt idx="0">
                  <c:v>Day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('Sprint 5'!$F$11,'Sprint 5'!$F$17,'Sprint 5'!$F$29)</c:f>
              <c:numCache>
                <c:formatCode>0.00\ "h"</c:formatCode>
                <c:ptCount val="3"/>
                <c:pt idx="0">
                  <c:v>5</c:v>
                </c:pt>
                <c:pt idx="1">
                  <c:v>9.5</c:v>
                </c:pt>
                <c:pt idx="2">
                  <c:v>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2-4995-98A5-459A7CFDEA5E}"/>
            </c:ext>
          </c:extLst>
        </c:ser>
        <c:ser>
          <c:idx val="1"/>
          <c:order val="1"/>
          <c:tx>
            <c:strRef>
              <c:f>'Sprint 5'!$G$10</c:f>
              <c:strCache>
                <c:ptCount val="1"/>
                <c:pt idx="0">
                  <c:v>Day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('Sprint 5'!$G$11,'Sprint 5'!$G$17,'Sprint 5'!$G$29)</c:f>
              <c:numCache>
                <c:formatCode>0.00\ "h"</c:formatCode>
                <c:ptCount val="3"/>
                <c:pt idx="0">
                  <c:v>2</c:v>
                </c:pt>
                <c:pt idx="1">
                  <c:v>7</c:v>
                </c:pt>
                <c:pt idx="2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B2-4995-98A5-459A7CFDEA5E}"/>
            </c:ext>
          </c:extLst>
        </c:ser>
        <c:ser>
          <c:idx val="2"/>
          <c:order val="2"/>
          <c:tx>
            <c:strRef>
              <c:f>'Sprint 5'!$H$10</c:f>
              <c:strCache>
                <c:ptCount val="1"/>
                <c:pt idx="0">
                  <c:v>Day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('Sprint 5'!$H$11,'Sprint 5'!$H$17,'Sprint 5'!$H$29)</c:f>
              <c:numCache>
                <c:formatCode>0.00\ "h"</c:formatCode>
                <c:ptCount val="3"/>
                <c:pt idx="0">
                  <c:v>3</c:v>
                </c:pt>
                <c:pt idx="1">
                  <c:v>10.75</c:v>
                </c:pt>
                <c:pt idx="2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B2-4995-98A5-459A7CFDE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5110608"/>
        <c:axId val="1526184352"/>
      </c:barChart>
      <c:catAx>
        <c:axId val="142511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26184352"/>
        <c:crosses val="autoZero"/>
        <c:auto val="1"/>
        <c:lblAlgn val="ctr"/>
        <c:lblOffset val="100"/>
        <c:noMultiLvlLbl val="1"/>
      </c:catAx>
      <c:valAx>
        <c:axId val="152618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\ &quot;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42511060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dk1"/>
          </a:solidFill>
        </a:defRPr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'r1 (2)'!$C$5:$F$5</c:f>
              <c:strCache>
                <c:ptCount val="4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</c:strCache>
            </c:strRef>
          </c:cat>
          <c:val>
            <c:numRef>
              <c:f>'r1 (2)'!$C$13:$F$13</c:f>
              <c:numCache>
                <c:formatCode>0\ "h"</c:formatCode>
                <c:ptCount val="4"/>
                <c:pt idx="0">
                  <c:v>55</c:v>
                </c:pt>
                <c:pt idx="1">
                  <c:v>36.666666666666671</c:v>
                </c:pt>
                <c:pt idx="2">
                  <c:v>18.333333333333332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A2-49DD-864C-DBA14E0BFE7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'r1 (2)'!$C$5:$F$5</c:f>
              <c:strCache>
                <c:ptCount val="4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</c:strCache>
            </c:strRef>
          </c:cat>
          <c:val>
            <c:numRef>
              <c:f>'r1 (2)'!$C$11:$F$11</c:f>
              <c:numCache>
                <c:formatCode>0\ "h"</c:formatCode>
                <c:ptCount val="4"/>
                <c:pt idx="0">
                  <c:v>30</c:v>
                </c:pt>
                <c:pt idx="1">
                  <c:v>20.5</c:v>
                </c:pt>
                <c:pt idx="2">
                  <c:v>19</c:v>
                </c:pt>
                <c:pt idx="3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A2-49DD-864C-DBA14E0BF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2553695"/>
        <c:axId val="1390510751"/>
      </c:lineChart>
      <c:catAx>
        <c:axId val="124255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390510751"/>
        <c:crosses val="autoZero"/>
        <c:auto val="1"/>
        <c:lblAlgn val="ctr"/>
        <c:lblOffset val="100"/>
        <c:noMultiLvlLbl val="0"/>
      </c:catAx>
      <c:valAx>
        <c:axId val="139051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24255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'r1 (2)'!$B$5:$F$5</c:f>
              <c:strCache>
                <c:ptCount val="5"/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</c:strCache>
            </c:strRef>
          </c:cat>
          <c:val>
            <c:numRef>
              <c:f>'r1 (2)'!$B$13:$F$13</c:f>
              <c:numCache>
                <c:formatCode>0\ "h"</c:formatCode>
                <c:ptCount val="5"/>
                <c:pt idx="0">
                  <c:v>73.333333333333329</c:v>
                </c:pt>
                <c:pt idx="1">
                  <c:v>55</c:v>
                </c:pt>
                <c:pt idx="2">
                  <c:v>36.666666666666671</c:v>
                </c:pt>
                <c:pt idx="3">
                  <c:v>18.333333333333332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3A-4641-8868-F093C3EC45D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'r1 (2)'!$B$5:$F$5</c:f>
              <c:strCache>
                <c:ptCount val="5"/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</c:strCache>
            </c:strRef>
          </c:cat>
          <c:val>
            <c:numRef>
              <c:f>'r1 (2)'!$B$11:$F$11</c:f>
              <c:numCache>
                <c:formatCode>0\ "h"</c:formatCode>
                <c:ptCount val="5"/>
                <c:pt idx="0" formatCode="General">
                  <c:v>0</c:v>
                </c:pt>
                <c:pt idx="1">
                  <c:v>30</c:v>
                </c:pt>
                <c:pt idx="2">
                  <c:v>20.5</c:v>
                </c:pt>
                <c:pt idx="3">
                  <c:v>19</c:v>
                </c:pt>
                <c:pt idx="4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3A-4641-8868-F093C3EC4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184687"/>
        <c:axId val="1353973439"/>
      </c:lineChart>
      <c:catAx>
        <c:axId val="174618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353973439"/>
        <c:crosses val="autoZero"/>
        <c:auto val="1"/>
        <c:lblAlgn val="ctr"/>
        <c:lblOffset val="100"/>
        <c:noMultiLvlLbl val="0"/>
      </c:catAx>
      <c:valAx>
        <c:axId val="135397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74618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Actual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'r1 (2)'!$C$5:$F$5</c:f>
              <c:strCache>
                <c:ptCount val="4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</c:strCache>
            </c:strRef>
          </c:cat>
          <c:val>
            <c:numRef>
              <c:f>'r1 (2)'!$C$11:$E$11</c:f>
              <c:numCache>
                <c:formatCode>0\ "h"</c:formatCode>
                <c:ptCount val="3"/>
                <c:pt idx="0">
                  <c:v>30</c:v>
                </c:pt>
                <c:pt idx="1">
                  <c:v>20.5</c:v>
                </c:pt>
                <c:pt idx="2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73-4D5C-BC5F-135AAC1A2EE8}"/>
            </c:ext>
          </c:extLst>
        </c:ser>
        <c:ser>
          <c:idx val="1"/>
          <c:order val="1"/>
          <c:tx>
            <c:v>Expected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'r1 (2)'!$C$5:$F$5</c:f>
              <c:strCache>
                <c:ptCount val="4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</c:strCache>
            </c:strRef>
          </c:cat>
          <c:val>
            <c:numRef>
              <c:f>'r1 (2)'!$C$13:$F$13</c:f>
              <c:numCache>
                <c:formatCode>0\ "h"</c:formatCode>
                <c:ptCount val="4"/>
                <c:pt idx="0">
                  <c:v>55</c:v>
                </c:pt>
                <c:pt idx="1">
                  <c:v>36.666666666666671</c:v>
                </c:pt>
                <c:pt idx="2">
                  <c:v>18.333333333333332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73-4D5C-BC5F-135AAC1A2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4789103"/>
        <c:axId val="1888043327"/>
      </c:lineChart>
      <c:catAx>
        <c:axId val="202478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888043327"/>
        <c:crosses val="autoZero"/>
        <c:auto val="1"/>
        <c:lblAlgn val="ctr"/>
        <c:lblOffset val="100"/>
        <c:noMultiLvlLbl val="0"/>
      </c:catAx>
      <c:valAx>
        <c:axId val="188804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02478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1.jpg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image" Target="../media/image1.jpg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image" Target="../media/image1.jpg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image" Target="../media/image1.jpg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598396</xdr:colOff>
      <xdr:row>0</xdr:row>
      <xdr:rowOff>1</xdr:rowOff>
    </xdr:from>
    <xdr:to>
      <xdr:col>16</xdr:col>
      <xdr:colOff>593914</xdr:colOff>
      <xdr:row>11</xdr:row>
      <xdr:rowOff>561976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705052A-CCC8-4C40-8A85-25F28FFC34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6</xdr:row>
      <xdr:rowOff>200024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A8DF6A6-BE3B-4D38-9D9E-FFF09DC20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1400174"/>
        </a:xfrm>
        <a:prstGeom prst="rect">
          <a:avLst/>
        </a:prstGeom>
      </xdr:spPr>
    </xdr:pic>
    <xdr:clientData/>
  </xdr:twoCellAnchor>
  <xdr:twoCellAnchor>
    <xdr:from>
      <xdr:col>7</xdr:col>
      <xdr:colOff>605116</xdr:colOff>
      <xdr:row>11</xdr:row>
      <xdr:rowOff>517152</xdr:rowOff>
    </xdr:from>
    <xdr:to>
      <xdr:col>20</xdr:col>
      <xdr:colOff>280147</xdr:colOff>
      <xdr:row>21</xdr:row>
      <xdr:rowOff>56030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BA073D-FDB0-4006-8605-7275D74F993C}"/>
            </a:ext>
            <a:ext uri="{147F2762-F138-4A5C-976F-8EAC2B608ADB}">
              <a16:predDERef xmlns:a16="http://schemas.microsoft.com/office/drawing/2014/main" pred="{9A8DF6A6-BE3B-4D38-9D9E-FFF09DC20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4483</xdr:colOff>
      <xdr:row>0</xdr:row>
      <xdr:rowOff>1</xdr:rowOff>
    </xdr:from>
    <xdr:to>
      <xdr:col>17</xdr:col>
      <xdr:colOff>1</xdr:colOff>
      <xdr:row>12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014EB2-66DC-4952-8D15-A9D8128EC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33618</xdr:colOff>
      <xdr:row>6</xdr:row>
      <xdr:rowOff>196849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8DB3CA-9B9B-4209-93FB-61B8C7DB9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1400174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11</xdr:row>
      <xdr:rowOff>190499</xdr:rowOff>
    </xdr:from>
    <xdr:to>
      <xdr:col>17</xdr:col>
      <xdr:colOff>0</xdr:colOff>
      <xdr:row>25</xdr:row>
      <xdr:rowOff>22412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9C482D2D-11D3-4771-B490-13A3DF133972}"/>
            </a:ext>
            <a:ext uri="{147F2762-F138-4A5C-976F-8EAC2B608ADB}">
              <a16:predDERef xmlns:a16="http://schemas.microsoft.com/office/drawing/2014/main" pred="{9A8DF6A6-BE3B-4D38-9D9E-FFF09DC20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4483</xdr:colOff>
      <xdr:row>0</xdr:row>
      <xdr:rowOff>1</xdr:rowOff>
    </xdr:from>
    <xdr:to>
      <xdr:col>17</xdr:col>
      <xdr:colOff>1</xdr:colOff>
      <xdr:row>12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C7653B-261F-4E71-A553-55BAFAC9C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69813</xdr:colOff>
      <xdr:row>6</xdr:row>
      <xdr:rowOff>134320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7EE399-1E19-406B-A81B-274842F92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4738" cy="133447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11</xdr:row>
      <xdr:rowOff>190499</xdr:rowOff>
    </xdr:from>
    <xdr:to>
      <xdr:col>17</xdr:col>
      <xdr:colOff>0</xdr:colOff>
      <xdr:row>25</xdr:row>
      <xdr:rowOff>22412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51CB1183-14F2-490F-9BCD-58EACFB427EA}"/>
            </a:ext>
            <a:ext uri="{147F2762-F138-4A5C-976F-8EAC2B608ADB}">
              <a16:predDERef xmlns:a16="http://schemas.microsoft.com/office/drawing/2014/main" pred="{9A8DF6A6-BE3B-4D38-9D9E-FFF09DC20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4483</xdr:colOff>
      <xdr:row>0</xdr:row>
      <xdr:rowOff>1</xdr:rowOff>
    </xdr:from>
    <xdr:to>
      <xdr:col>17</xdr:col>
      <xdr:colOff>1</xdr:colOff>
      <xdr:row>12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2A7C3C-E73E-4E84-998B-CCB3668379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69813</xdr:colOff>
      <xdr:row>6</xdr:row>
      <xdr:rowOff>134320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9DEFEB-E804-480E-83D3-7B79F76EA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4738" cy="1334470"/>
        </a:xfrm>
        <a:prstGeom prst="rect">
          <a:avLst/>
        </a:prstGeom>
      </xdr:spPr>
    </xdr:pic>
    <xdr:clientData/>
  </xdr:twoCellAnchor>
  <xdr:twoCellAnchor>
    <xdr:from>
      <xdr:col>8</xdr:col>
      <xdr:colOff>582706</xdr:colOff>
      <xdr:row>12</xdr:row>
      <xdr:rowOff>22412</xdr:rowOff>
    </xdr:from>
    <xdr:to>
      <xdr:col>16</xdr:col>
      <xdr:colOff>593911</xdr:colOff>
      <xdr:row>25</xdr:row>
      <xdr:rowOff>44825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672B4D61-8589-4110-B395-CCDD0D4810AC}"/>
            </a:ext>
            <a:ext uri="{147F2762-F138-4A5C-976F-8EAC2B608ADB}">
              <a16:predDERef xmlns:a16="http://schemas.microsoft.com/office/drawing/2014/main" pred="{9A8DF6A6-BE3B-4D38-9D9E-FFF09DC20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4483</xdr:colOff>
      <xdr:row>0</xdr:row>
      <xdr:rowOff>0</xdr:rowOff>
    </xdr:from>
    <xdr:to>
      <xdr:col>17</xdr:col>
      <xdr:colOff>1</xdr:colOff>
      <xdr:row>12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928115-0462-42B4-A8BB-E3B0060BBE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69813</xdr:colOff>
      <xdr:row>6</xdr:row>
      <xdr:rowOff>134320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0E9896-DADA-4DCE-93D4-7C01CAC80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4738" cy="133447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11</xdr:row>
      <xdr:rowOff>190499</xdr:rowOff>
    </xdr:from>
    <xdr:to>
      <xdr:col>17</xdr:col>
      <xdr:colOff>0</xdr:colOff>
      <xdr:row>25</xdr:row>
      <xdr:rowOff>22412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D683A0-BE71-4255-91CF-EB7F77BB5A37}"/>
            </a:ext>
            <a:ext uri="{147F2762-F138-4A5C-976F-8EAC2B608ADB}">
              <a16:predDERef xmlns:a16="http://schemas.microsoft.com/office/drawing/2014/main" pred="{9A8DF6A6-BE3B-4D38-9D9E-FFF09DC20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4483</xdr:colOff>
      <xdr:row>0</xdr:row>
      <xdr:rowOff>1</xdr:rowOff>
    </xdr:from>
    <xdr:to>
      <xdr:col>17</xdr:col>
      <xdr:colOff>1</xdr:colOff>
      <xdr:row>12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F4C35C-B5A9-46A0-BCB6-90FD79DF3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69813</xdr:colOff>
      <xdr:row>6</xdr:row>
      <xdr:rowOff>134320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153F42-04A7-4F23-A5B6-C4011761D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4738" cy="133447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11</xdr:row>
      <xdr:rowOff>190499</xdr:rowOff>
    </xdr:from>
    <xdr:to>
      <xdr:col>17</xdr:col>
      <xdr:colOff>0</xdr:colOff>
      <xdr:row>25</xdr:row>
      <xdr:rowOff>22412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7F751B-8FA7-44F1-A761-DA215C74499C}"/>
            </a:ext>
            <a:ext uri="{147F2762-F138-4A5C-976F-8EAC2B608ADB}">
              <a16:predDERef xmlns:a16="http://schemas.microsoft.com/office/drawing/2014/main" pred="{9A8DF6A6-BE3B-4D38-9D9E-FFF09DC20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1476375</xdr:colOff>
      <xdr:row>18</xdr:row>
      <xdr:rowOff>41275</xdr:rowOff>
    </xdr:from>
    <xdr:to>
      <xdr:col>14</xdr:col>
      <xdr:colOff>1365250</xdr:colOff>
      <xdr:row>31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DD2299-0C63-44C7-A32E-534D77156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301625</xdr:colOff>
      <xdr:row>19</xdr:row>
      <xdr:rowOff>120650</xdr:rowOff>
    </xdr:from>
    <xdr:to>
      <xdr:col>25</xdr:col>
      <xdr:colOff>47625</xdr:colOff>
      <xdr:row>33</xdr:row>
      <xdr:rowOff>53975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A160C1-A0F9-4A00-BE42-C37571633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793750</xdr:colOff>
      <xdr:row>20</xdr:row>
      <xdr:rowOff>104775</xdr:rowOff>
    </xdr:from>
    <xdr:to>
      <xdr:col>16</xdr:col>
      <xdr:colOff>539750</xdr:colOff>
      <xdr:row>34</xdr:row>
      <xdr:rowOff>53975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64DC4B-E19E-449D-B1C0-098D5A27C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38FFE9-595D-41BD-B95E-BF2CCF07E05C}" name="Table1" displayName="Table1" ref="A10:G25" totalsRowCount="1" headerRowDxfId="131" totalsRowDxfId="129" tableBorderDxfId="130">
  <autoFilter ref="A10:G24" xr:uid="{D2526FBB-ECE6-4C9E-AB20-F62361CCDDD2}"/>
  <tableColumns count="7">
    <tableColumn id="1" xr3:uid="{C616DDC4-B2DD-4071-8853-EDD68E887F72}" name="ID" totalsRowLabel="Total" dataDxfId="128" totalsRowDxfId="127"/>
    <tableColumn id="2" xr3:uid="{E9D6A243-A324-466A-B7BF-31FD5B4D27E0}" name="Priority" dataDxfId="126" totalsRowDxfId="125"/>
    <tableColumn id="3" xr3:uid="{DE2E7F86-B101-4846-96F6-041B213EA4BD}" name="Estimate" totalsRowFunction="sum" dataDxfId="124" totalsRowDxfId="123"/>
    <tableColumn id="4" xr3:uid="{E7309335-0AA8-4E2F-97A3-5EA46DF9B945}" name="Item" dataDxfId="122" totalsRowDxfId="121"/>
    <tableColumn id="5" xr3:uid="{345E70C4-3343-4AC1-9CED-EC472F34D4FD}" name="Day 1" totalsRowFunction="sum" dataDxfId="120" totalsRowDxfId="119"/>
    <tableColumn id="6" xr3:uid="{7FA2EB14-20FD-4DF8-ABD6-7A388D65942B}" name="Day 2" totalsRowFunction="sum" dataDxfId="118" totalsRowDxfId="117">
      <calculatedColumnFormula>Table14[[#This Row],[Day 2]]</calculatedColumnFormula>
    </tableColumn>
    <tableColumn id="7" xr3:uid="{7A8511EE-EC1D-4834-8702-F439FFBAD08C}" name="Day 3" totalsRowFunction="sum" dataDxfId="116" totalsRowDxfId="115">
      <calculatedColumnFormula>Table14[[#This Row],[Day 3]]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74D289-6C6D-42E8-965C-5C63DD942EF5}" name="Table2" displayName="Table2" ref="R1:W9" totalsRowCount="1" headerRowDxfId="114" headerRowBorderDxfId="113" tableBorderDxfId="112">
  <autoFilter ref="R1:W8" xr:uid="{4D3F4EA2-27C4-4531-9B59-5D3FC7125A81}"/>
  <tableColumns count="6">
    <tableColumn id="1" xr3:uid="{4E17FAA7-A361-4319-A96A-EAFBCC4B1BA2}" name="#" totalsRowLabel="Total" dataDxfId="111" totalsRowDxfId="110"/>
    <tableColumn id="2" xr3:uid="{B9923D35-DA2D-438D-BB9B-0AFFB389FC82}" name="ID" dataDxfId="109" totalsRowDxfId="108"/>
    <tableColumn id="3" xr3:uid="{D1D86354-9D12-4C22-A146-AC17F2489A12}" name="Days" totalsRowFunction="sum" dataDxfId="107" totalsRowDxfId="106">
      <calculatedColumnFormula>W2-V2</calculatedColumnFormula>
    </tableColumn>
    <tableColumn id="4" xr3:uid="{310CE5D6-B3B5-4E29-987A-093CECDA8E88}" name="Left Days" dataDxfId="105" totalsRowDxfId="104"/>
    <tableColumn id="5" xr3:uid="{EA08ED29-37B3-44F0-9B95-50C160626EC0}" name="Start Date" dataDxfId="103" totalsRowDxfId="102"/>
    <tableColumn id="6" xr3:uid="{9FAD8F02-4231-42E0-B682-9BC9007876B0}" name="End Date" dataDxfId="101" totalsRowDxfId="10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FE30E3-F898-4C50-8338-A37C73249168}" name="Table14" displayName="Table14" ref="A10:H36" totalsRowCount="1" headerRowDxfId="99" dataDxfId="98" totalsRowDxfId="96" tableBorderDxfId="97">
  <autoFilter ref="A10:H35" xr:uid="{D2526FBB-ECE6-4C9E-AB20-F62361CCDDD2}"/>
  <tableColumns count="8">
    <tableColumn id="1" xr3:uid="{51AEBEDA-1F6A-421F-8588-E5996B57D29B}" name="ID" totalsRowLabel="Total" dataDxfId="95" totalsRowDxfId="7"/>
    <tableColumn id="2" xr3:uid="{9FDFB98F-80FD-4C31-A7F4-64902F4C3BC5}" name="Priority" dataDxfId="94" totalsRowDxfId="6"/>
    <tableColumn id="8" xr3:uid="{0BE37C23-8F84-4322-9D74-3559B4B1B868}" name="Responsible" dataDxfId="93" totalsRowDxfId="5"/>
    <tableColumn id="3" xr3:uid="{EE6D6B66-19FA-44FF-85F1-F2B08E9FAA55}" name="Estimate" totalsRowFunction="custom" dataDxfId="92" totalsRowDxfId="4">
      <totalsRowFormula>SUBTOTAL(109,D11,D23,D31)</totalsRowFormula>
    </tableColumn>
    <tableColumn id="4" xr3:uid="{00098E98-1D36-41EA-9EFD-DB025234A67F}" name="Item" dataDxfId="91" totalsRowDxfId="3"/>
    <tableColumn id="5" xr3:uid="{8CDB3E3A-0AB7-419E-9554-C0DBE1B29A3C}" name="Day 1" totalsRowFunction="custom" dataDxfId="90" totalsRowDxfId="2">
      <totalsRowFormula>SUBTOTAL(109,F11,F23,F31)</totalsRowFormula>
    </tableColumn>
    <tableColumn id="6" xr3:uid="{5DDB19C1-4E7D-4246-8B4C-0A6165194B42}" name="Day 2" totalsRowFunction="custom" dataDxfId="89" totalsRowDxfId="1">
      <totalsRowFormula>SUBTOTAL(109,G11,G23,G31)</totalsRowFormula>
    </tableColumn>
    <tableColumn id="7" xr3:uid="{0A3B0518-8EAB-4D7F-8731-F0B6845DFD9F}" name="Day 3" totalsRowFunction="custom" dataDxfId="88" totalsRowDxfId="0">
      <totalsRowFormula>SUBTOTAL(109,H11,H23,H31)</totalsRow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C281AD-D867-466C-BF3A-D551FE770411}" name="Table145" displayName="Table145" ref="A10:H34" totalsRowCount="1" headerRowDxfId="87" dataDxfId="86" totalsRowDxfId="84" tableBorderDxfId="85">
  <autoFilter ref="A10:H33" xr:uid="{D2526FBB-ECE6-4C9E-AB20-F62361CCDDD2}"/>
  <tableColumns count="8">
    <tableColumn id="1" xr3:uid="{BFA273E7-6908-483E-BBD8-5C5AFD2D8B2F}" name="ID" totalsRowLabel="Total" dataDxfId="83" totalsRowDxfId="15"/>
    <tableColumn id="2" xr3:uid="{2D75B30F-0692-4822-9B3C-FF73DFD65F7D}" name="Priority" dataDxfId="82" totalsRowDxfId="14"/>
    <tableColumn id="8" xr3:uid="{759EC65B-04B1-4B61-95BE-0CCD613B50CA}" name="Responsible" dataDxfId="81" totalsRowDxfId="13"/>
    <tableColumn id="3" xr3:uid="{607A1523-3913-4B2E-862A-30C349E8FA80}" name="Estimate" totalsRowFunction="sum" dataDxfId="80" totalsRowDxfId="12"/>
    <tableColumn id="4" xr3:uid="{B534B02C-F50C-4C74-BD7A-780BACC8345F}" name="Item" dataDxfId="79" totalsRowDxfId="11"/>
    <tableColumn id="5" xr3:uid="{816EF3AD-FF6E-4500-9755-5E1D4E5451F5}" name="Day 1" totalsRowFunction="custom" dataDxfId="78" totalsRowDxfId="10">
      <totalsRowFormula>SUM(F11,F16,F22,F28)</totalsRowFormula>
    </tableColumn>
    <tableColumn id="6" xr3:uid="{3882D54B-7314-432B-A999-5D41B51845E1}" name="Day 2" totalsRowFunction="custom" dataDxfId="77" totalsRowDxfId="9">
      <totalsRowFormula>SUM(G11,G16,G22,G28)</totalsRowFormula>
    </tableColumn>
    <tableColumn id="7" xr3:uid="{5B025620-CAC7-444A-9F8C-7EF74BB46DB3}" name="Day 3" totalsRowFunction="custom" dataDxfId="76" totalsRowDxfId="8">
      <totalsRowFormula>SUM(H11,H16,H22,H28)</totalsRow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DB6976-B121-4164-9FD3-FBC0914579F5}" name="Table1456" displayName="Table1456" ref="A10:H23" totalsRowCount="1" headerRowDxfId="75" dataDxfId="74" totalsRowDxfId="72" tableBorderDxfId="73">
  <autoFilter ref="A10:H22" xr:uid="{D2526FBB-ECE6-4C9E-AB20-F62361CCDDD2}"/>
  <tableColumns count="8">
    <tableColumn id="1" xr3:uid="{4AD88676-F3E4-481E-9382-3F5AA19820BC}" name="ID" totalsRowLabel="Total" dataDxfId="71" totalsRowDxfId="70"/>
    <tableColumn id="2" xr3:uid="{8FC90947-0F40-46DF-8CF6-5E45CC463019}" name="Priority" dataDxfId="69" totalsRowDxfId="68"/>
    <tableColumn id="8" xr3:uid="{0F30E189-78AD-4C02-A4E3-FA0489556337}" name="Responsible" dataDxfId="67" totalsRowDxfId="66"/>
    <tableColumn id="3" xr3:uid="{D6319621-897F-4BD6-A44B-5B3989551D15}" name="Estimate" totalsRowFunction="sum" dataDxfId="65" totalsRowDxfId="64">
      <calculatedColumnFormula>Final!C22</calculatedColumnFormula>
    </tableColumn>
    <tableColumn id="4" xr3:uid="{6F3E2488-0898-48C9-A887-F99ACB97BB28}" name="Item" dataDxfId="63" totalsRowDxfId="62"/>
    <tableColumn id="5" xr3:uid="{82090FD7-F44C-402A-BEB8-C1CFB09E6744}" name="Day 1" totalsRowFunction="custom" dataDxfId="61" totalsRowDxfId="60">
      <totalsRowFormula>SUM(F12:F18,F20:F22)</totalsRowFormula>
    </tableColumn>
    <tableColumn id="6" xr3:uid="{8357D762-9F08-4F48-94C3-001D0AA1805D}" name="Day 2" totalsRowFunction="custom" dataDxfId="59" totalsRowDxfId="58">
      <totalsRowFormula>SUM(G12:G18,G20:G22)</totalsRowFormula>
    </tableColumn>
    <tableColumn id="7" xr3:uid="{224DBDEC-DFB4-4208-AC33-DB89FE3DA916}" name="Day 3" totalsRowFunction="custom" dataDxfId="57" totalsRowDxfId="56">
      <totalsRowFormula>SUM(H12:H18,H20:H22)</totalsRow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21B45E-9DD7-443A-95EB-06A83CBF8CDC}" name="Table14567" displayName="Table14567" ref="A10:H29" totalsRowCount="1" headerRowDxfId="55" dataDxfId="54" totalsRowDxfId="52" tableBorderDxfId="53">
  <autoFilter ref="A10:H28" xr:uid="{D2526FBB-ECE6-4C9E-AB20-F62361CCDDD2}"/>
  <tableColumns count="8">
    <tableColumn id="1" xr3:uid="{E7851C4B-17CC-4DB6-B049-5206CD7A4FB0}" name="ID" totalsRowLabel="Total" dataDxfId="51" totalsRowDxfId="50"/>
    <tableColumn id="2" xr3:uid="{6F632C0A-F74F-457F-BBC1-E4480A55C516}" name="Priority" dataDxfId="49" totalsRowDxfId="48"/>
    <tableColumn id="8" xr3:uid="{E4851FAB-7496-48A5-B7E5-4B421E0E1E9A}" name="Responsible" dataDxfId="47" totalsRowDxfId="46"/>
    <tableColumn id="3" xr3:uid="{494408B6-351D-4BF6-9C00-E8561B29EE09}" name="Estimate" totalsRowFunction="sum" dataDxfId="45" totalsRowDxfId="44"/>
    <tableColumn id="4" xr3:uid="{01F0B833-7D70-4290-8FFC-3D0335CA6223}" name="Item" dataDxfId="43" totalsRowDxfId="42"/>
    <tableColumn id="5" xr3:uid="{039DB206-11C1-4AA6-A67B-E0207222FA45}" name="Day 1" totalsRowFunction="custom" dataDxfId="41" totalsRowDxfId="40">
      <totalsRowFormula>SUM(F11,F17,F23)</totalsRowFormula>
    </tableColumn>
    <tableColumn id="6" xr3:uid="{6B7FD0C5-2A36-4648-BA44-467CD48231E3}" name="Day 2" totalsRowFunction="custom" dataDxfId="39" totalsRowDxfId="38">
      <totalsRowFormula>SUM(G11,G17,G23)</totalsRowFormula>
    </tableColumn>
    <tableColumn id="7" xr3:uid="{6849018E-0977-4566-92A0-82F85B1CBB2E}" name="Day 3" totalsRowFunction="custom" dataDxfId="37" totalsRowDxfId="36">
      <totalsRowFormula>SUM(H11,H17,H23)</totalsRow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A46FB9E-B74D-4973-99D8-8E54A10A80E2}" name="Table145678" displayName="Table145678" ref="A10:H38" totalsRowCount="1" headerRowDxfId="35" dataDxfId="34" totalsRowDxfId="32" tableBorderDxfId="33">
  <autoFilter ref="A10:H37" xr:uid="{D2526FBB-ECE6-4C9E-AB20-F62361CCDDD2}"/>
  <tableColumns count="8">
    <tableColumn id="1" xr3:uid="{AB554B59-CE59-4A49-ACFB-06144222430A}" name="ID" totalsRowLabel="Total" dataDxfId="31" totalsRowDxfId="30"/>
    <tableColumn id="2" xr3:uid="{58A1613A-C6E8-475B-8964-2B906DE8FF5E}" name="Priority" dataDxfId="29" totalsRowDxfId="28"/>
    <tableColumn id="8" xr3:uid="{F7504553-EDC6-48E9-8754-7DB46EF5A6A3}" name="Responsible" dataDxfId="27" totalsRowDxfId="26"/>
    <tableColumn id="3" xr3:uid="{5B142990-18B2-49A2-A0DE-79A7B5633E23}" name="Estimate" totalsRowFunction="sum" dataDxfId="25" totalsRowDxfId="24"/>
    <tableColumn id="4" xr3:uid="{C264279E-B833-4161-8259-F79E5406AAD2}" name="Item" dataDxfId="23" totalsRowDxfId="22"/>
    <tableColumn id="5" xr3:uid="{A0C015AD-8A0A-481A-AA76-012924725F02}" name="Day 1" totalsRowFunction="custom" dataDxfId="21" totalsRowDxfId="20">
      <totalsRowFormula>SUM(F11,F17,F29)</totalsRowFormula>
    </tableColumn>
    <tableColumn id="6" xr3:uid="{548FC26C-7843-4829-AA97-AB42F8634831}" name="Day 2" totalsRowFunction="custom" dataDxfId="19" totalsRowDxfId="18">
      <totalsRowFormula>SUM(G11,G17,G29)</totalsRowFormula>
    </tableColumn>
    <tableColumn id="7" xr3:uid="{E86E337A-D96C-4BFA-8E23-999222CA3C47}" name="Day 3" totalsRowFunction="custom" dataDxfId="17" totalsRowDxfId="16">
      <totalsRowFormula>SUM(H11,H17,H29)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agilevelocity.com/scrummaster/daily-scrum-cheat-sheet/" TargetMode="External"/><Relationship Id="rId1" Type="http://schemas.openxmlformats.org/officeDocument/2006/relationships/hyperlink" Target="https://codehollow.com/scrum-meeting-templates/sprint-review-template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agilevelocity.com/scrummaster/daily-scrum-cheat-sheet/" TargetMode="External"/><Relationship Id="rId1" Type="http://schemas.openxmlformats.org/officeDocument/2006/relationships/hyperlink" Target="https://codehollow.com/scrum-meeting-templates/sprint-review-template/" TargetMode="External"/><Relationship Id="rId4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C4E27-4CD0-4D36-92DB-B47ABB2B4076}">
  <sheetPr codeName="Sheet1"/>
  <dimension ref="A1:Z26"/>
  <sheetViews>
    <sheetView zoomScale="85" zoomScaleNormal="85" workbookViewId="0">
      <selection activeCell="P26" sqref="P26"/>
    </sheetView>
  </sheetViews>
  <sheetFormatPr defaultRowHeight="15" x14ac:dyDescent="0.25"/>
  <cols>
    <col min="1" max="1" width="9.140625" customWidth="1"/>
    <col min="2" max="2" width="10.85546875" customWidth="1"/>
    <col min="3" max="3" width="11" customWidth="1"/>
    <col min="4" max="4" width="44" customWidth="1"/>
    <col min="6" max="6" width="10.85546875" customWidth="1"/>
    <col min="19" max="19" width="11.7109375" customWidth="1"/>
    <col min="21" max="21" width="11.42578125" customWidth="1"/>
    <col min="22" max="22" width="12.28515625" customWidth="1"/>
    <col min="23" max="23" width="11.42578125" customWidth="1"/>
  </cols>
  <sheetData>
    <row r="1" spans="1:26" ht="15.75" thickBot="1" x14ac:dyDescent="0.3">
      <c r="A1" s="147"/>
      <c r="B1" s="147"/>
      <c r="C1" s="18"/>
      <c r="D1" s="8" t="s">
        <v>0</v>
      </c>
      <c r="E1" s="143" t="s">
        <v>1</v>
      </c>
      <c r="F1" s="143"/>
      <c r="I1" s="34"/>
      <c r="J1" s="34"/>
      <c r="K1" s="34"/>
      <c r="L1" s="34"/>
      <c r="M1" s="34"/>
      <c r="N1" s="34"/>
      <c r="O1" s="34"/>
      <c r="P1" s="34"/>
      <c r="R1" s="10" t="s">
        <v>2</v>
      </c>
      <c r="S1" s="10" t="s">
        <v>3</v>
      </c>
      <c r="T1" s="70" t="s">
        <v>4</v>
      </c>
      <c r="U1" s="69" t="s">
        <v>5</v>
      </c>
      <c r="V1" s="69" t="s">
        <v>6</v>
      </c>
      <c r="W1" s="69" t="s">
        <v>7</v>
      </c>
      <c r="X1" s="45"/>
      <c r="Y1" s="45"/>
      <c r="Z1" s="45"/>
    </row>
    <row r="2" spans="1:26" ht="15.75" thickBot="1" x14ac:dyDescent="0.3">
      <c r="A2" s="147"/>
      <c r="B2" s="147"/>
      <c r="C2" s="18"/>
      <c r="D2" s="8" t="s">
        <v>8</v>
      </c>
      <c r="E2" s="146" t="s">
        <v>9</v>
      </c>
      <c r="F2" s="146"/>
      <c r="I2" s="34"/>
      <c r="J2" s="34"/>
      <c r="K2" s="34"/>
      <c r="L2" s="34"/>
      <c r="M2" s="34"/>
      <c r="N2" s="34"/>
      <c r="O2" s="34"/>
      <c r="P2" s="34"/>
      <c r="R2" s="71" t="s">
        <v>10</v>
      </c>
      <c r="S2" s="71" t="s">
        <v>11</v>
      </c>
      <c r="T2" s="76">
        <f t="shared" ref="T2:T8" si="0">W2-V2</f>
        <v>28</v>
      </c>
      <c r="U2" s="73">
        <f ca="1">W2-F3</f>
        <v>-43</v>
      </c>
      <c r="V2" s="75">
        <v>43552</v>
      </c>
      <c r="W2" s="75">
        <v>43580</v>
      </c>
    </row>
    <row r="3" spans="1:26" ht="15.75" thickBot="1" x14ac:dyDescent="0.3">
      <c r="A3" s="147"/>
      <c r="B3" s="147"/>
      <c r="C3" s="18"/>
      <c r="D3" s="3" t="s">
        <v>12</v>
      </c>
      <c r="E3" s="11">
        <v>43623</v>
      </c>
      <c r="F3" s="12">
        <f ca="1">TODAY()</f>
        <v>43623</v>
      </c>
      <c r="G3" s="1" t="s">
        <v>13</v>
      </c>
      <c r="H3" s="68">
        <f ca="1">E3-F3</f>
        <v>0</v>
      </c>
      <c r="I3" s="34"/>
      <c r="J3" s="34"/>
      <c r="K3" s="34"/>
      <c r="L3" s="34"/>
      <c r="M3" s="34"/>
      <c r="N3" s="34"/>
      <c r="O3" s="34"/>
      <c r="P3" s="34"/>
      <c r="R3" s="5" t="s">
        <v>14</v>
      </c>
      <c r="S3" s="5" t="s">
        <v>171</v>
      </c>
      <c r="T3" s="67">
        <f t="shared" si="0"/>
        <v>21</v>
      </c>
      <c r="U3" s="67">
        <f ca="1">W3-F3</f>
        <v>-22</v>
      </c>
      <c r="V3" s="12">
        <v>43580</v>
      </c>
      <c r="W3" s="12">
        <v>43601</v>
      </c>
    </row>
    <row r="4" spans="1:26" ht="15.75" thickBot="1" x14ac:dyDescent="0.3">
      <c r="A4" s="147"/>
      <c r="B4" s="147"/>
      <c r="C4" s="18"/>
      <c r="D4" s="10" t="s">
        <v>15</v>
      </c>
      <c r="E4" s="145">
        <f>COUNTA(Table1[Day 1],Table1[Day 2],Table1[Day 3])/(COUNTA(Table1[Estimate])*3)*100</f>
        <v>100</v>
      </c>
      <c r="F4" s="145"/>
      <c r="G4" s="129" t="str">
        <f>IF(E4=100,"yeeees, we dit it :)","we didn't finised our project :(")</f>
        <v>yeeees, we dit it :)</v>
      </c>
      <c r="I4" s="34"/>
      <c r="J4" s="34"/>
      <c r="K4" s="34"/>
      <c r="L4" s="34"/>
      <c r="M4" s="34"/>
      <c r="N4" s="34"/>
      <c r="O4" s="34"/>
      <c r="P4" s="34"/>
      <c r="R4" s="5" t="s">
        <v>16</v>
      </c>
      <c r="S4" s="5">
        <v>12.13</v>
      </c>
      <c r="T4" s="67">
        <f t="shared" si="0"/>
        <v>6</v>
      </c>
      <c r="U4" s="67">
        <f ca="1">W4-F3</f>
        <v>-16</v>
      </c>
      <c r="V4" s="12">
        <v>43601</v>
      </c>
      <c r="W4" s="12">
        <v>43607</v>
      </c>
      <c r="Z4" t="s">
        <v>211</v>
      </c>
    </row>
    <row r="5" spans="1:26" ht="15.75" thickBot="1" x14ac:dyDescent="0.3">
      <c r="A5" s="147"/>
      <c r="B5" s="147"/>
      <c r="C5" s="18"/>
      <c r="D5" s="3" t="s">
        <v>17</v>
      </c>
      <c r="E5" s="9" t="s">
        <v>17</v>
      </c>
      <c r="F5" s="5" t="s">
        <v>18</v>
      </c>
      <c r="I5" s="34"/>
      <c r="J5" s="34"/>
      <c r="K5" s="34"/>
      <c r="L5" s="34"/>
      <c r="M5" s="34"/>
      <c r="N5" s="34"/>
      <c r="O5" s="34"/>
      <c r="P5" s="34"/>
      <c r="R5" s="5" t="s">
        <v>19</v>
      </c>
      <c r="S5" s="5" t="s">
        <v>172</v>
      </c>
      <c r="T5" s="67">
        <f t="shared" si="0"/>
        <v>5</v>
      </c>
      <c r="U5" s="67">
        <f ca="1">W5-F3</f>
        <v>-11</v>
      </c>
      <c r="V5" s="12">
        <v>43607</v>
      </c>
      <c r="W5" s="12">
        <v>43612</v>
      </c>
      <c r="Z5" t="s">
        <v>212</v>
      </c>
    </row>
    <row r="6" spans="1:26" ht="15.75" thickBot="1" x14ac:dyDescent="0.3">
      <c r="A6" s="147"/>
      <c r="B6" s="147"/>
      <c r="C6" s="18"/>
      <c r="D6" s="3" t="s">
        <v>17</v>
      </c>
      <c r="E6" s="4" t="s">
        <v>17</v>
      </c>
      <c r="F6" s="5" t="s">
        <v>17</v>
      </c>
      <c r="I6" s="34"/>
      <c r="J6" s="34"/>
      <c r="K6" s="34"/>
      <c r="L6" s="34"/>
      <c r="M6" s="34"/>
      <c r="N6" s="34"/>
      <c r="O6" s="34"/>
      <c r="P6" s="34"/>
      <c r="R6" s="5" t="s">
        <v>20</v>
      </c>
      <c r="S6" s="5">
        <v>7</v>
      </c>
      <c r="T6" s="67">
        <f t="shared" si="0"/>
        <v>3</v>
      </c>
      <c r="U6" s="67">
        <f ca="1">W6-F3</f>
        <v>-8</v>
      </c>
      <c r="V6" s="12">
        <v>43612</v>
      </c>
      <c r="W6" s="12">
        <v>43615</v>
      </c>
      <c r="Z6" t="s">
        <v>213</v>
      </c>
    </row>
    <row r="7" spans="1:26" ht="15.75" thickBot="1" x14ac:dyDescent="0.3">
      <c r="A7" s="147"/>
      <c r="B7" s="147"/>
      <c r="C7" s="18"/>
      <c r="D7" s="3" t="s">
        <v>21</v>
      </c>
      <c r="E7" s="7">
        <f>Table1[[#Totals],[Estimate]]</f>
        <v>185</v>
      </c>
      <c r="F7" s="6">
        <f>SUM(Table1[[#Totals],[Day 1]:[Day 3]])</f>
        <v>183.45</v>
      </c>
      <c r="I7" s="34"/>
      <c r="J7" s="34"/>
      <c r="K7" s="34"/>
      <c r="L7" s="34"/>
      <c r="M7" s="34"/>
      <c r="N7" s="34"/>
      <c r="O7" s="34"/>
      <c r="P7" s="34"/>
      <c r="R7" s="72" t="s">
        <v>22</v>
      </c>
      <c r="S7" s="5" t="s">
        <v>173</v>
      </c>
      <c r="T7" s="67">
        <f t="shared" si="0"/>
        <v>4</v>
      </c>
      <c r="U7" s="67">
        <f ca="1">W7-F3</f>
        <v>-4</v>
      </c>
      <c r="V7" s="12">
        <v>43615</v>
      </c>
      <c r="W7" s="12">
        <v>43619</v>
      </c>
      <c r="Z7" t="s">
        <v>214</v>
      </c>
    </row>
    <row r="8" spans="1:26" ht="15.75" thickBot="1" x14ac:dyDescent="0.3">
      <c r="A8" s="17"/>
      <c r="B8" s="17"/>
      <c r="C8" s="17"/>
      <c r="D8" s="17"/>
      <c r="E8" s="17"/>
      <c r="F8" s="17"/>
      <c r="I8" s="34"/>
      <c r="J8" s="34"/>
      <c r="K8" s="34"/>
      <c r="L8" s="34"/>
      <c r="M8" s="34"/>
      <c r="N8" s="34"/>
      <c r="O8" s="34"/>
      <c r="P8" s="34"/>
      <c r="R8" s="78" t="s">
        <v>23</v>
      </c>
      <c r="S8" s="79" t="s">
        <v>173</v>
      </c>
      <c r="T8" s="80">
        <f t="shared" si="0"/>
        <v>4</v>
      </c>
      <c r="U8" s="80">
        <f ca="1">W8-F3</f>
        <v>0</v>
      </c>
      <c r="V8" s="81">
        <v>43619</v>
      </c>
      <c r="W8" s="81">
        <v>43623</v>
      </c>
    </row>
    <row r="9" spans="1:26" ht="15.75" thickBot="1" x14ac:dyDescent="0.3">
      <c r="A9" s="143" t="s">
        <v>1</v>
      </c>
      <c r="B9" s="143"/>
      <c r="C9" s="143"/>
      <c r="D9" s="143"/>
      <c r="E9" s="143"/>
      <c r="F9" s="143"/>
      <c r="G9" s="143"/>
      <c r="I9" s="34"/>
      <c r="J9" s="34"/>
      <c r="K9" s="34"/>
      <c r="L9" s="34"/>
      <c r="M9" s="34"/>
      <c r="N9" s="34"/>
      <c r="O9" s="34"/>
      <c r="P9" s="34"/>
      <c r="R9" s="82" t="s">
        <v>24</v>
      </c>
      <c r="S9" s="82"/>
      <c r="T9" s="76">
        <f>SUBTOTAL(109,Table2[Days])</f>
        <v>71</v>
      </c>
      <c r="U9" s="76"/>
      <c r="V9" s="76"/>
      <c r="W9" s="76"/>
    </row>
    <row r="10" spans="1:26" x14ac:dyDescent="0.25">
      <c r="A10" s="100" t="s">
        <v>3</v>
      </c>
      <c r="B10" s="15" t="s">
        <v>25</v>
      </c>
      <c r="C10" s="15" t="s">
        <v>26</v>
      </c>
      <c r="D10" s="100" t="s">
        <v>27</v>
      </c>
      <c r="E10" s="15" t="s">
        <v>28</v>
      </c>
      <c r="F10" s="15" t="s">
        <v>29</v>
      </c>
      <c r="G10" s="15" t="s">
        <v>30</v>
      </c>
      <c r="I10" s="34"/>
      <c r="J10" s="34"/>
      <c r="K10" s="34"/>
      <c r="L10" s="34"/>
      <c r="M10" s="34"/>
      <c r="N10" s="34"/>
      <c r="O10" s="34"/>
      <c r="P10" s="34"/>
      <c r="V10" s="74"/>
    </row>
    <row r="11" spans="1:26" ht="30" x14ac:dyDescent="0.25">
      <c r="A11" s="97">
        <v>1</v>
      </c>
      <c r="B11" s="97" t="s">
        <v>31</v>
      </c>
      <c r="C11" s="14">
        <v>20</v>
      </c>
      <c r="D11" s="63" t="s">
        <v>32</v>
      </c>
      <c r="E11" s="2">
        <f>Table14[[#This Row],[Day 1]]</f>
        <v>15</v>
      </c>
      <c r="F11" s="2">
        <f>Table14[[#This Row],[Day 2]]</f>
        <v>8</v>
      </c>
      <c r="G11" s="2">
        <f>Table14[[#This Row],[Day 3]]</f>
        <v>9</v>
      </c>
      <c r="H11" t="s">
        <v>152</v>
      </c>
      <c r="I11" s="34"/>
      <c r="J11" s="34"/>
      <c r="K11" s="34"/>
      <c r="L11" s="34"/>
      <c r="M11" s="34"/>
      <c r="N11" s="34"/>
      <c r="O11" s="34"/>
      <c r="P11" s="34"/>
    </row>
    <row r="12" spans="1:26" ht="45" x14ac:dyDescent="0.25">
      <c r="A12" s="97">
        <v>2</v>
      </c>
      <c r="B12" s="97" t="s">
        <v>33</v>
      </c>
      <c r="C12" s="14">
        <v>15</v>
      </c>
      <c r="D12" s="63" t="s">
        <v>34</v>
      </c>
      <c r="E12" s="2">
        <f>'Sprint 1'!F23</f>
        <v>10</v>
      </c>
      <c r="F12" s="2">
        <f>'Sprint 1'!G23</f>
        <v>8</v>
      </c>
      <c r="G12" s="2">
        <f>'Sprint 1'!H23</f>
        <v>6.5</v>
      </c>
      <c r="H12" t="s">
        <v>152</v>
      </c>
      <c r="I12" s="34"/>
      <c r="J12" s="34"/>
      <c r="K12" s="34"/>
      <c r="L12" s="34"/>
      <c r="M12" s="34"/>
      <c r="N12" s="34"/>
      <c r="O12" s="34"/>
      <c r="P12" s="34"/>
    </row>
    <row r="13" spans="1:26" ht="30" x14ac:dyDescent="0.25">
      <c r="A13" s="97">
        <v>3</v>
      </c>
      <c r="B13" s="65" t="s">
        <v>35</v>
      </c>
      <c r="C13" s="14">
        <v>10</v>
      </c>
      <c r="D13" s="63" t="s">
        <v>36</v>
      </c>
      <c r="E13" s="2">
        <f>'Sprint 2'!F11</f>
        <v>3.2</v>
      </c>
      <c r="F13" s="2">
        <f>'Sprint 2'!G11</f>
        <v>0.75</v>
      </c>
      <c r="G13" s="2">
        <f>'Sprint 2'!H11</f>
        <v>0.75</v>
      </c>
      <c r="H13" t="s">
        <v>152</v>
      </c>
      <c r="I13" s="142" t="s">
        <v>37</v>
      </c>
      <c r="J13" s="142"/>
      <c r="K13" s="142"/>
      <c r="L13" s="142"/>
      <c r="M13" s="142"/>
      <c r="N13" s="142"/>
      <c r="O13" s="142"/>
      <c r="P13" s="142"/>
    </row>
    <row r="14" spans="1:26" ht="45" x14ac:dyDescent="0.25">
      <c r="A14" s="130">
        <v>4</v>
      </c>
      <c r="B14" s="140" t="s">
        <v>38</v>
      </c>
      <c r="C14" s="131"/>
      <c r="D14" s="140" t="s">
        <v>39</v>
      </c>
      <c r="E14" s="132"/>
      <c r="F14" s="132"/>
      <c r="G14" s="132"/>
      <c r="I14" s="142"/>
      <c r="J14" s="142"/>
      <c r="K14" s="142"/>
      <c r="L14" s="142"/>
      <c r="M14" s="142"/>
      <c r="N14" s="142"/>
      <c r="O14" s="142"/>
      <c r="P14" s="142"/>
    </row>
    <row r="15" spans="1:26" ht="45" x14ac:dyDescent="0.25">
      <c r="A15" s="139">
        <v>5</v>
      </c>
      <c r="B15" s="64" t="s">
        <v>33</v>
      </c>
      <c r="C15" s="14">
        <v>20</v>
      </c>
      <c r="D15" s="60" t="s">
        <v>40</v>
      </c>
      <c r="E15" s="2">
        <f>'Sprint 1'!F31</f>
        <v>5</v>
      </c>
      <c r="F15" s="2">
        <f>'Sprint 1'!G31</f>
        <v>4.5</v>
      </c>
      <c r="G15" s="2">
        <f>'Sprint 1'!H31</f>
        <v>3.5</v>
      </c>
      <c r="H15" t="s">
        <v>152</v>
      </c>
      <c r="I15" s="142"/>
      <c r="J15" s="142"/>
      <c r="K15" s="142"/>
      <c r="L15" s="142"/>
      <c r="M15" s="142"/>
      <c r="N15" s="142"/>
      <c r="O15" s="142"/>
      <c r="P15" s="142"/>
    </row>
    <row r="16" spans="1:26" ht="45" x14ac:dyDescent="0.25">
      <c r="A16" s="139">
        <v>6</v>
      </c>
      <c r="B16" s="64" t="s">
        <v>41</v>
      </c>
      <c r="C16" s="66">
        <v>10</v>
      </c>
      <c r="D16" s="60" t="s">
        <v>42</v>
      </c>
      <c r="E16" s="2">
        <f>'Sprint 2'!F22</f>
        <v>2.5</v>
      </c>
      <c r="F16" s="2">
        <f>'Sprint 2'!G22</f>
        <v>3</v>
      </c>
      <c r="G16" s="2">
        <f>'Sprint 2'!H22</f>
        <v>1.5</v>
      </c>
      <c r="H16" t="s">
        <v>152</v>
      </c>
      <c r="I16" s="142"/>
      <c r="J16" s="142"/>
      <c r="K16" s="142"/>
      <c r="L16" s="142"/>
      <c r="M16" s="142"/>
      <c r="N16" s="142"/>
      <c r="O16" s="142"/>
      <c r="P16" s="142"/>
    </row>
    <row r="17" spans="1:16" ht="30" x14ac:dyDescent="0.25">
      <c r="A17" s="139">
        <v>7</v>
      </c>
      <c r="B17" s="64" t="s">
        <v>35</v>
      </c>
      <c r="C17" s="66">
        <v>5</v>
      </c>
      <c r="D17" s="63" t="s">
        <v>43</v>
      </c>
      <c r="E17" s="2">
        <f>'Sprint 5'!F11</f>
        <v>5</v>
      </c>
      <c r="F17" s="2">
        <f>'Sprint 5'!G11</f>
        <v>2</v>
      </c>
      <c r="G17" s="2">
        <f>'Sprint 5'!H11</f>
        <v>3</v>
      </c>
      <c r="I17" s="142"/>
      <c r="J17" s="142"/>
      <c r="K17" s="142"/>
      <c r="L17" s="142"/>
      <c r="M17" s="142"/>
      <c r="N17" s="142"/>
      <c r="O17" s="142"/>
      <c r="P17" s="142"/>
    </row>
    <row r="18" spans="1:16" ht="45" x14ac:dyDescent="0.25">
      <c r="A18" s="139">
        <v>8</v>
      </c>
      <c r="B18" s="64" t="s">
        <v>38</v>
      </c>
      <c r="C18" s="66">
        <v>15</v>
      </c>
      <c r="D18" s="115" t="s">
        <v>44</v>
      </c>
      <c r="E18" s="2">
        <f>'Sprint 4'!F11</f>
        <v>7</v>
      </c>
      <c r="F18" s="2">
        <f>'Sprint 4'!G11</f>
        <v>5</v>
      </c>
      <c r="G18" s="2">
        <f>'Sprint 4'!H11</f>
        <v>3</v>
      </c>
      <c r="H18" t="s">
        <v>152</v>
      </c>
      <c r="I18" s="142"/>
      <c r="J18" s="142"/>
      <c r="K18" s="142"/>
      <c r="L18" s="142"/>
      <c r="M18" s="142"/>
      <c r="N18" s="142"/>
      <c r="O18" s="142"/>
      <c r="P18" s="142"/>
    </row>
    <row r="19" spans="1:16" ht="45" x14ac:dyDescent="0.25">
      <c r="A19" s="139">
        <v>9</v>
      </c>
      <c r="B19" s="64" t="s">
        <v>33</v>
      </c>
      <c r="C19" s="66">
        <v>25</v>
      </c>
      <c r="D19" s="115" t="s">
        <v>45</v>
      </c>
      <c r="E19" s="2">
        <f>'Sprint 2'!F28</f>
        <v>4.25</v>
      </c>
      <c r="F19" s="2">
        <f>'Sprint 2'!G28</f>
        <v>2</v>
      </c>
      <c r="G19" s="2">
        <f>'Sprint 2'!H28</f>
        <v>1</v>
      </c>
      <c r="H19" t="s">
        <v>152</v>
      </c>
    </row>
    <row r="20" spans="1:16" ht="45" x14ac:dyDescent="0.25">
      <c r="A20" s="139">
        <v>10</v>
      </c>
      <c r="B20" s="64" t="s">
        <v>38</v>
      </c>
      <c r="C20" s="66">
        <v>20</v>
      </c>
      <c r="D20" s="115" t="s">
        <v>46</v>
      </c>
      <c r="E20" s="2">
        <f>'Sprint 4'!F17</f>
        <v>7</v>
      </c>
      <c r="F20" s="2">
        <f>'Sprint 4'!G17</f>
        <v>4</v>
      </c>
      <c r="G20" s="2">
        <f>'Sprint 4'!H17</f>
        <v>2</v>
      </c>
      <c r="H20" t="s">
        <v>152</v>
      </c>
    </row>
    <row r="21" spans="1:16" ht="45" x14ac:dyDescent="0.25">
      <c r="A21" s="139">
        <v>11</v>
      </c>
      <c r="B21" s="64" t="s">
        <v>33</v>
      </c>
      <c r="C21" s="66">
        <v>15</v>
      </c>
      <c r="D21" s="115" t="s">
        <v>47</v>
      </c>
      <c r="E21" s="2">
        <f>'Sprint 2'!F16</f>
        <v>4.5</v>
      </c>
      <c r="F21" s="2">
        <f>'Sprint 2'!G16</f>
        <v>2.5</v>
      </c>
      <c r="G21" s="2">
        <f>'Sprint 2'!H16</f>
        <v>3</v>
      </c>
      <c r="H21" t="s">
        <v>152</v>
      </c>
    </row>
    <row r="22" spans="1:16" ht="45" x14ac:dyDescent="0.25">
      <c r="A22" s="139">
        <v>12</v>
      </c>
      <c r="B22" s="64" t="s">
        <v>33</v>
      </c>
      <c r="C22" s="66">
        <v>10</v>
      </c>
      <c r="D22" s="115" t="s">
        <v>48</v>
      </c>
      <c r="E22" s="2">
        <f>'Sprint 3'!F11</f>
        <v>8</v>
      </c>
      <c r="F22" s="2">
        <f>'Sprint 3'!G11</f>
        <v>6</v>
      </c>
      <c r="G22" s="2">
        <f>'Sprint 3'!H11</f>
        <v>5.5</v>
      </c>
      <c r="H22" t="s">
        <v>152</v>
      </c>
    </row>
    <row r="23" spans="1:16" ht="45" x14ac:dyDescent="0.25">
      <c r="A23" s="139">
        <v>13</v>
      </c>
      <c r="B23" s="64" t="s">
        <v>41</v>
      </c>
      <c r="C23" s="66">
        <v>10</v>
      </c>
      <c r="D23" s="115" t="s">
        <v>49</v>
      </c>
      <c r="E23" s="2">
        <f>'Sprint 3'!F19</f>
        <v>1</v>
      </c>
      <c r="F23" s="2">
        <f>Table14[[#This Row],[Day 2]]</f>
        <v>8</v>
      </c>
      <c r="G23" s="2">
        <f>Table14[[#This Row],[Day 3]]</f>
        <v>6.5</v>
      </c>
      <c r="H23" t="s">
        <v>152</v>
      </c>
    </row>
    <row r="24" spans="1:16" ht="30" x14ac:dyDescent="0.25">
      <c r="A24" s="139">
        <v>14</v>
      </c>
      <c r="B24" s="64" t="s">
        <v>35</v>
      </c>
      <c r="C24" s="66">
        <v>10</v>
      </c>
      <c r="D24" s="115" t="s">
        <v>147</v>
      </c>
      <c r="E24" s="2">
        <f>'Sprint 4'!F23</f>
        <v>8</v>
      </c>
      <c r="F24" s="2">
        <f>'Sprint 4'!G23</f>
        <v>3</v>
      </c>
      <c r="G24" s="2">
        <f>'Sprint 4'!H23</f>
        <v>1</v>
      </c>
      <c r="H24" t="s">
        <v>152</v>
      </c>
    </row>
    <row r="25" spans="1:16" x14ac:dyDescent="0.25">
      <c r="A25" s="123" t="s">
        <v>24</v>
      </c>
      <c r="B25" s="123"/>
      <c r="C25" s="14">
        <f>SUBTOTAL(109,Table1[Estimate])</f>
        <v>185</v>
      </c>
      <c r="D25" s="123"/>
      <c r="E25" s="14">
        <f>SUBTOTAL(109,Table1[Day 1])</f>
        <v>80.45</v>
      </c>
      <c r="F25" s="14">
        <f>SUBTOTAL(109,Table1[Day 2])</f>
        <v>56.75</v>
      </c>
      <c r="G25" s="14">
        <f>SUBTOTAL(109,Table1[Day 3])</f>
        <v>46.25</v>
      </c>
    </row>
    <row r="26" spans="1:16" x14ac:dyDescent="0.25">
      <c r="E26" s="144">
        <f>SUM(Table1[[#Totals],[Day 1]:[Day 3]])</f>
        <v>183.45</v>
      </c>
      <c r="F26" s="144"/>
      <c r="G26" s="144"/>
    </row>
  </sheetData>
  <mergeCells count="7">
    <mergeCell ref="I13:P18"/>
    <mergeCell ref="E1:F1"/>
    <mergeCell ref="E26:G26"/>
    <mergeCell ref="A9:G9"/>
    <mergeCell ref="E4:F4"/>
    <mergeCell ref="E2:F2"/>
    <mergeCell ref="A1:B7"/>
  </mergeCells>
  <phoneticPr fontId="24" type="noConversion"/>
  <conditionalFormatting sqref="H3">
    <cfRule type="dataBar" priority="3">
      <dataBar>
        <cfvo type="num" val="0"/>
        <cfvo type="num" val="110"/>
        <color rgb="FF638EC6"/>
      </dataBar>
      <extLst>
        <ext xmlns:x14="http://schemas.microsoft.com/office/spreadsheetml/2009/9/main" uri="{B025F937-C7B1-47D3-B67F-A62EFF666E3E}">
          <x14:id>{62B63F66-DD19-4261-865F-D43E594E4630}</x14:id>
        </ext>
      </extLst>
    </cfRule>
    <cfRule type="colorScale" priority="4">
      <colorScale>
        <cfvo type="num" val="5"/>
        <cfvo type="num" val="60"/>
        <color rgb="FFFF0000"/>
        <color theme="9"/>
      </colorScale>
    </cfRule>
  </conditionalFormatting>
  <conditionalFormatting sqref="E4:F4">
    <cfRule type="dataBar" priority="2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{97EF58BE-7B05-43E9-ACB5-3D5A8B8630DD}</x14:id>
        </ext>
      </extLst>
    </cfRule>
  </conditionalFormatting>
  <conditionalFormatting sqref="E11:G2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{5DD77B83-39BE-4EF2-940F-BD630B1F6392}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ignoredErrors>
    <ignoredError sqref="F12:G13 F19:G19 F21:G21 F15:G16 F22:G22 F18:G18 F20:G20 F24:G24 F17:G17" calculatedColumn="1"/>
  </ignoredErrors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B63F66-DD19-4261-865F-D43E594E4630}">
            <x14:dataBar minLength="0" maxLength="100">
              <x14:cfvo type="num">
                <xm:f>0</xm:f>
              </x14:cfvo>
              <x14:cfvo type="num">
                <xm:f>110</xm:f>
              </x14:cfvo>
              <x14:negativeFillColor rgb="FFFF0000"/>
              <x14:axisColor rgb="FF000000"/>
            </x14:dataBar>
          </x14:cfRule>
          <xm:sqref>H3</xm:sqref>
        </x14:conditionalFormatting>
        <x14:conditionalFormatting xmlns:xm="http://schemas.microsoft.com/office/excel/2006/main">
          <x14:cfRule type="dataBar" id="{97EF58BE-7B05-43E9-ACB5-3D5A8B8630DD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E4:F4</xm:sqref>
        </x14:conditionalFormatting>
        <x14:conditionalFormatting xmlns:xm="http://schemas.microsoft.com/office/excel/2006/main">
          <x14:cfRule type="dataBar" id="{5DD77B83-39BE-4EF2-940F-BD630B1F63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E11:G24</xm:sqref>
        </x14:conditionalFormatting>
        <x14:conditionalFormatting xmlns:xm="http://schemas.microsoft.com/office/excel/2006/main">
          <x14:cfRule type="iconSet" priority="5" id="{DE752D2B-230F-4971-97EF-66BD70D747D4}">
            <x14:iconSet iconSet="5Boxes" showValue="0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B11:B13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1D836-A05A-4875-9ED8-01C59D904994}">
  <sheetPr codeName="Sheet2"/>
  <dimension ref="A1:Q37"/>
  <sheetViews>
    <sheetView topLeftCell="A17" zoomScale="85" zoomScaleNormal="85" workbookViewId="0">
      <selection activeCell="K31" sqref="K31"/>
    </sheetView>
  </sheetViews>
  <sheetFormatPr defaultRowHeight="15" x14ac:dyDescent="0.25"/>
  <cols>
    <col min="1" max="1" width="8.7109375" customWidth="1"/>
    <col min="2" max="2" width="10.85546875" customWidth="1"/>
    <col min="3" max="3" width="14.7109375" customWidth="1"/>
    <col min="4" max="4" width="16.140625" customWidth="1"/>
    <col min="5" max="5" width="45.7109375" customWidth="1"/>
    <col min="6" max="6" width="11.7109375" customWidth="1"/>
    <col min="8" max="8" width="11.42578125" customWidth="1"/>
    <col min="10" max="10" width="10.28515625" customWidth="1"/>
  </cols>
  <sheetData>
    <row r="1" spans="1:17" ht="15.75" thickBot="1" x14ac:dyDescent="0.3">
      <c r="A1" s="147"/>
      <c r="B1" s="147"/>
      <c r="C1" s="45"/>
      <c r="E1" s="8" t="s">
        <v>0</v>
      </c>
      <c r="F1" s="143" t="s">
        <v>1</v>
      </c>
      <c r="G1" s="149"/>
      <c r="J1" s="97"/>
      <c r="K1" s="97"/>
      <c r="L1" s="97"/>
      <c r="M1" s="97"/>
      <c r="N1" s="97"/>
      <c r="O1" s="97"/>
      <c r="P1" s="97"/>
    </row>
    <row r="2" spans="1:17" ht="15.75" thickBot="1" x14ac:dyDescent="0.3">
      <c r="A2" s="147"/>
      <c r="B2" s="147"/>
      <c r="C2" s="45"/>
      <c r="E2" s="8" t="s">
        <v>8</v>
      </c>
      <c r="F2" s="98" t="s">
        <v>9</v>
      </c>
      <c r="G2" s="99"/>
      <c r="J2" s="97"/>
      <c r="K2" s="97"/>
      <c r="L2" s="97"/>
      <c r="M2" s="97"/>
      <c r="N2" s="97"/>
      <c r="O2" s="97"/>
      <c r="P2" s="97"/>
    </row>
    <row r="3" spans="1:17" ht="15.75" thickBot="1" x14ac:dyDescent="0.3">
      <c r="A3" s="147"/>
      <c r="B3" s="147"/>
      <c r="C3" s="45"/>
      <c r="E3" s="3" t="s">
        <v>12</v>
      </c>
      <c r="F3" s="11">
        <v>43623</v>
      </c>
      <c r="G3" s="12">
        <f ca="1">TODAY()</f>
        <v>43623</v>
      </c>
      <c r="H3" s="1" t="s">
        <v>13</v>
      </c>
      <c r="I3" s="13">
        <f ca="1">F3-G3</f>
        <v>0</v>
      </c>
      <c r="J3" s="97"/>
      <c r="K3" s="97"/>
      <c r="L3" s="97"/>
      <c r="M3" s="97"/>
      <c r="N3" s="97"/>
      <c r="O3" s="97"/>
      <c r="P3" s="97"/>
    </row>
    <row r="4" spans="1:17" ht="15.75" thickBot="1" x14ac:dyDescent="0.3">
      <c r="A4" s="147"/>
      <c r="B4" s="147"/>
      <c r="C4" s="45"/>
      <c r="E4" s="10" t="s">
        <v>15</v>
      </c>
      <c r="F4" s="145">
        <f>(COUNTA(F12:F22,F24:F30,F32:F35,G12:G22,G24:G30,G32:G35,H12:H22,H24:H30,H32:H35))/(COUNTA(E12:E22,E24:E30,E32:E35)*3)*100</f>
        <v>100</v>
      </c>
      <c r="G4" s="148"/>
      <c r="H4" s="16"/>
      <c r="J4" s="97"/>
      <c r="K4" s="97"/>
      <c r="L4" s="97"/>
      <c r="M4" s="97"/>
      <c r="N4" s="97"/>
      <c r="O4" s="97"/>
      <c r="P4" s="97"/>
    </row>
    <row r="5" spans="1:17" ht="15.75" thickBot="1" x14ac:dyDescent="0.3">
      <c r="A5" s="147"/>
      <c r="B5" s="147"/>
      <c r="C5" s="45"/>
      <c r="E5" s="3" t="s">
        <v>17</v>
      </c>
      <c r="F5" s="9" t="s">
        <v>17</v>
      </c>
      <c r="G5" s="51" t="s">
        <v>18</v>
      </c>
      <c r="H5" s="54" t="s">
        <v>50</v>
      </c>
      <c r="I5" s="55"/>
      <c r="J5" s="97"/>
      <c r="K5" s="97"/>
      <c r="L5" s="97"/>
      <c r="M5" s="97"/>
      <c r="N5" s="97"/>
      <c r="O5" s="97"/>
      <c r="P5" s="97"/>
    </row>
    <row r="6" spans="1:17" ht="15.75" thickBot="1" x14ac:dyDescent="0.3">
      <c r="A6" s="147"/>
      <c r="B6" s="147"/>
      <c r="C6" s="45"/>
      <c r="E6" s="3" t="s">
        <v>17</v>
      </c>
      <c r="F6" s="4" t="s">
        <v>17</v>
      </c>
      <c r="G6" s="51" t="s">
        <v>17</v>
      </c>
      <c r="H6" s="53" t="s">
        <v>51</v>
      </c>
      <c r="I6" s="56"/>
      <c r="J6" s="97"/>
      <c r="K6" s="97"/>
      <c r="L6" s="97"/>
      <c r="M6" s="97"/>
      <c r="N6" s="97"/>
      <c r="O6" s="97"/>
      <c r="P6" s="97"/>
    </row>
    <row r="7" spans="1:17" ht="15.75" thickBot="1" x14ac:dyDescent="0.3">
      <c r="A7" s="147"/>
      <c r="B7" s="147"/>
      <c r="C7" s="45"/>
      <c r="E7" s="3" t="s">
        <v>21</v>
      </c>
      <c r="F7" s="7">
        <f>Table14[[#Totals],[Estimate]]</f>
        <v>55</v>
      </c>
      <c r="G7" s="52">
        <f>SUM(Table14[[#Totals],[Day 1]:[Day 3]])</f>
        <v>69.5</v>
      </c>
      <c r="H7" s="54" t="s">
        <v>52</v>
      </c>
      <c r="I7" s="57"/>
      <c r="J7" s="97"/>
      <c r="K7" s="97"/>
      <c r="L7" s="97"/>
      <c r="M7" s="97"/>
      <c r="N7" s="97"/>
      <c r="O7" s="97"/>
      <c r="P7" s="97"/>
    </row>
    <row r="8" spans="1:17" ht="15.75" thickBot="1" x14ac:dyDescent="0.3">
      <c r="A8" s="45"/>
      <c r="B8" s="45"/>
      <c r="C8" s="45"/>
      <c r="D8" s="45"/>
      <c r="E8" s="45"/>
      <c r="F8" s="45"/>
      <c r="G8" s="45"/>
      <c r="I8" s="97"/>
      <c r="J8" s="97"/>
      <c r="K8" s="97"/>
      <c r="L8" s="97"/>
      <c r="M8" s="97"/>
      <c r="N8" s="97"/>
      <c r="O8" s="97"/>
      <c r="P8" s="97"/>
    </row>
    <row r="9" spans="1:17" ht="15.75" thickBot="1" x14ac:dyDescent="0.3">
      <c r="A9" s="143" t="s">
        <v>1</v>
      </c>
      <c r="B9" s="150"/>
      <c r="C9" s="150"/>
      <c r="D9" s="150"/>
      <c r="E9" s="150"/>
      <c r="F9" s="150"/>
      <c r="G9" s="150"/>
      <c r="H9" s="149"/>
      <c r="I9" s="97"/>
      <c r="J9" s="97"/>
      <c r="K9" s="97"/>
      <c r="L9" s="97"/>
      <c r="M9" s="97"/>
      <c r="N9" s="97"/>
      <c r="O9" s="97"/>
      <c r="P9" s="97"/>
    </row>
    <row r="10" spans="1:17" ht="15.75" thickBot="1" x14ac:dyDescent="0.3">
      <c r="A10" s="100" t="s">
        <v>3</v>
      </c>
      <c r="B10" s="15" t="s">
        <v>25</v>
      </c>
      <c r="C10" s="15" t="s">
        <v>53</v>
      </c>
      <c r="D10" s="15" t="s">
        <v>26</v>
      </c>
      <c r="E10" s="100" t="s">
        <v>27</v>
      </c>
      <c r="F10" s="15" t="s">
        <v>28</v>
      </c>
      <c r="G10" s="15" t="s">
        <v>29</v>
      </c>
      <c r="H10" s="15" t="s">
        <v>30</v>
      </c>
      <c r="J10" s="97"/>
      <c r="K10" s="97"/>
      <c r="L10" s="97"/>
      <c r="M10" s="97"/>
      <c r="N10" s="97"/>
      <c r="O10" s="97"/>
      <c r="P10" s="97"/>
      <c r="Q10" s="97"/>
    </row>
    <row r="11" spans="1:17" ht="29.25" thickBot="1" x14ac:dyDescent="0.3">
      <c r="A11" s="44">
        <v>1</v>
      </c>
      <c r="B11" s="43" t="s">
        <v>31</v>
      </c>
      <c r="C11" s="43"/>
      <c r="D11" s="42">
        <f>Final!C11</f>
        <v>20</v>
      </c>
      <c r="E11" s="41" t="s">
        <v>32</v>
      </c>
      <c r="F11" s="46">
        <f>SUM(F12:F22)</f>
        <v>15</v>
      </c>
      <c r="G11" s="46">
        <f>SUM(G12:G22)</f>
        <v>8</v>
      </c>
      <c r="H11" s="47">
        <f>SUM(H12:H22)</f>
        <v>9</v>
      </c>
      <c r="J11" s="97"/>
      <c r="K11" s="97"/>
      <c r="L11" s="97"/>
      <c r="M11" s="97"/>
      <c r="N11" s="97"/>
      <c r="O11" s="97"/>
      <c r="P11" s="97"/>
      <c r="Q11" s="97"/>
    </row>
    <row r="12" spans="1:17" x14ac:dyDescent="0.25">
      <c r="A12" s="38"/>
      <c r="B12" s="38"/>
      <c r="C12" s="38" t="s">
        <v>54</v>
      </c>
      <c r="D12" s="39"/>
      <c r="E12" s="50" t="s">
        <v>55</v>
      </c>
      <c r="F12" s="40">
        <v>1</v>
      </c>
      <c r="G12" s="40">
        <v>1</v>
      </c>
      <c r="H12" s="40">
        <v>0</v>
      </c>
      <c r="J12" s="97"/>
      <c r="K12" s="97"/>
      <c r="L12" s="97"/>
      <c r="M12" s="97"/>
      <c r="N12" s="97"/>
      <c r="O12" s="97"/>
      <c r="P12" s="97"/>
      <c r="Q12" s="97"/>
    </row>
    <row r="13" spans="1:17" x14ac:dyDescent="0.25">
      <c r="A13" s="38"/>
      <c r="B13" s="38"/>
      <c r="C13" s="38" t="s">
        <v>54</v>
      </c>
      <c r="D13" s="39"/>
      <c r="E13" s="48" t="s">
        <v>56</v>
      </c>
      <c r="F13" s="40">
        <v>1</v>
      </c>
      <c r="G13" s="40">
        <v>0</v>
      </c>
      <c r="H13" s="40">
        <v>0</v>
      </c>
      <c r="J13" s="142" t="s">
        <v>37</v>
      </c>
      <c r="K13" s="142"/>
      <c r="L13" s="142"/>
      <c r="M13" s="142"/>
      <c r="N13" s="142"/>
      <c r="O13" s="142"/>
      <c r="P13" s="142"/>
      <c r="Q13" s="142"/>
    </row>
    <row r="14" spans="1:17" x14ac:dyDescent="0.25">
      <c r="A14" s="38"/>
      <c r="B14" s="38"/>
      <c r="C14" s="38" t="s">
        <v>54</v>
      </c>
      <c r="D14" s="39"/>
      <c r="E14" s="50" t="s">
        <v>57</v>
      </c>
      <c r="F14" s="40">
        <v>1</v>
      </c>
      <c r="G14" s="40">
        <v>0</v>
      </c>
      <c r="H14" s="40">
        <v>0</v>
      </c>
      <c r="J14" s="142"/>
      <c r="K14" s="142"/>
      <c r="L14" s="142"/>
      <c r="M14" s="142"/>
      <c r="N14" s="142"/>
      <c r="O14" s="142"/>
      <c r="P14" s="142"/>
      <c r="Q14" s="142"/>
    </row>
    <row r="15" spans="1:17" x14ac:dyDescent="0.25">
      <c r="A15" s="38"/>
      <c r="B15" s="38"/>
      <c r="C15" s="38" t="s">
        <v>54</v>
      </c>
      <c r="D15" s="39"/>
      <c r="E15" s="48" t="s">
        <v>58</v>
      </c>
      <c r="F15" s="40">
        <v>0</v>
      </c>
      <c r="G15" s="40">
        <v>2</v>
      </c>
      <c r="H15" s="40">
        <v>0</v>
      </c>
      <c r="J15" s="142"/>
      <c r="K15" s="142"/>
      <c r="L15" s="142"/>
      <c r="M15" s="142"/>
      <c r="N15" s="142"/>
      <c r="O15" s="142"/>
      <c r="P15" s="142"/>
      <c r="Q15" s="142"/>
    </row>
    <row r="16" spans="1:17" x14ac:dyDescent="0.25">
      <c r="A16" s="38"/>
      <c r="B16" s="38"/>
      <c r="C16" s="38" t="s">
        <v>54</v>
      </c>
      <c r="D16" s="39"/>
      <c r="E16" s="48" t="s">
        <v>59</v>
      </c>
      <c r="F16" s="40">
        <v>0</v>
      </c>
      <c r="G16" s="40">
        <v>1</v>
      </c>
      <c r="H16" s="40">
        <v>0</v>
      </c>
      <c r="J16" s="142"/>
      <c r="K16" s="142"/>
      <c r="L16" s="142"/>
      <c r="M16" s="142"/>
      <c r="N16" s="142"/>
      <c r="O16" s="142"/>
      <c r="P16" s="142"/>
      <c r="Q16" s="142"/>
    </row>
    <row r="17" spans="1:17" x14ac:dyDescent="0.25">
      <c r="A17" s="38"/>
      <c r="B17" s="38"/>
      <c r="C17" s="38" t="s">
        <v>54</v>
      </c>
      <c r="D17" s="39"/>
      <c r="E17" s="48" t="s">
        <v>60</v>
      </c>
      <c r="F17" s="40">
        <v>0</v>
      </c>
      <c r="G17" s="40">
        <v>0</v>
      </c>
      <c r="H17" s="40">
        <v>1</v>
      </c>
      <c r="J17" s="142"/>
      <c r="K17" s="142"/>
      <c r="L17" s="142"/>
      <c r="M17" s="142"/>
      <c r="N17" s="142"/>
      <c r="O17" s="142"/>
      <c r="P17" s="142"/>
      <c r="Q17" s="142"/>
    </row>
    <row r="18" spans="1:17" x14ac:dyDescent="0.25">
      <c r="A18" s="38"/>
      <c r="B18" s="38"/>
      <c r="C18" s="38" t="s">
        <v>54</v>
      </c>
      <c r="D18" s="39"/>
      <c r="E18" s="50" t="s">
        <v>61</v>
      </c>
      <c r="F18" s="40">
        <v>0</v>
      </c>
      <c r="G18" s="40">
        <v>0</v>
      </c>
      <c r="H18" s="40">
        <v>1</v>
      </c>
      <c r="J18" s="142"/>
      <c r="K18" s="142"/>
      <c r="L18" s="142"/>
      <c r="M18" s="142"/>
      <c r="N18" s="142"/>
      <c r="O18" s="142"/>
      <c r="P18" s="142"/>
      <c r="Q18" s="142"/>
    </row>
    <row r="19" spans="1:17" x14ac:dyDescent="0.25">
      <c r="A19" s="38"/>
      <c r="B19" s="38"/>
      <c r="C19" s="38" t="s">
        <v>54</v>
      </c>
      <c r="D19" s="39"/>
      <c r="E19" s="101" t="s">
        <v>62</v>
      </c>
      <c r="F19" s="40">
        <v>5</v>
      </c>
      <c r="G19" s="40">
        <v>0</v>
      </c>
      <c r="H19" s="40">
        <v>0</v>
      </c>
    </row>
    <row r="20" spans="1:17" x14ac:dyDescent="0.25">
      <c r="A20" s="38"/>
      <c r="B20" s="38"/>
      <c r="C20" s="38" t="s">
        <v>54</v>
      </c>
      <c r="D20" s="39"/>
      <c r="E20" s="48" t="s">
        <v>63</v>
      </c>
      <c r="F20" s="40">
        <v>3</v>
      </c>
      <c r="G20" s="40">
        <v>4</v>
      </c>
      <c r="H20" s="40">
        <v>0</v>
      </c>
    </row>
    <row r="21" spans="1:17" x14ac:dyDescent="0.25">
      <c r="A21" s="38"/>
      <c r="B21" s="38"/>
      <c r="C21" s="38" t="s">
        <v>54</v>
      </c>
      <c r="D21" s="39"/>
      <c r="E21" s="103" t="s">
        <v>135</v>
      </c>
      <c r="F21" s="40">
        <v>2</v>
      </c>
      <c r="G21" s="40">
        <v>0</v>
      </c>
      <c r="H21" s="40">
        <v>3</v>
      </c>
    </row>
    <row r="22" spans="1:17" ht="15.75" thickBot="1" x14ac:dyDescent="0.3">
      <c r="A22" s="38"/>
      <c r="B22" s="38"/>
      <c r="C22" s="38" t="s">
        <v>54</v>
      </c>
      <c r="D22" s="39"/>
      <c r="E22" s="50" t="s">
        <v>64</v>
      </c>
      <c r="F22" s="40">
        <v>2</v>
      </c>
      <c r="G22" s="40">
        <v>0</v>
      </c>
      <c r="H22" s="40">
        <v>4</v>
      </c>
    </row>
    <row r="23" spans="1:17" ht="43.5" thickBot="1" x14ac:dyDescent="0.3">
      <c r="A23" s="44">
        <v>2</v>
      </c>
      <c r="B23" s="43" t="s">
        <v>33</v>
      </c>
      <c r="C23" s="43"/>
      <c r="D23" s="42">
        <f>Final!C12</f>
        <v>15</v>
      </c>
      <c r="E23" s="41" t="s">
        <v>34</v>
      </c>
      <c r="F23" s="46">
        <f t="shared" ref="F23:G23" si="0">SUM(F24:F30)</f>
        <v>10</v>
      </c>
      <c r="G23" s="46">
        <f t="shared" si="0"/>
        <v>8</v>
      </c>
      <c r="H23" s="47">
        <f>SUM(H24:H30)</f>
        <v>6.5</v>
      </c>
    </row>
    <row r="24" spans="1:17" x14ac:dyDescent="0.25">
      <c r="A24" s="38"/>
      <c r="B24" s="38"/>
      <c r="C24" s="38" t="s">
        <v>65</v>
      </c>
      <c r="D24" s="39"/>
      <c r="E24" s="48" t="s">
        <v>66</v>
      </c>
      <c r="F24" s="40">
        <v>0.5</v>
      </c>
      <c r="G24" s="40">
        <v>0.5</v>
      </c>
      <c r="H24" s="40">
        <v>0.5</v>
      </c>
    </row>
    <row r="25" spans="1:17" x14ac:dyDescent="0.25">
      <c r="A25" s="38"/>
      <c r="B25" s="38"/>
      <c r="C25" s="38" t="s">
        <v>67</v>
      </c>
      <c r="D25" s="39"/>
      <c r="E25" s="48" t="s">
        <v>68</v>
      </c>
      <c r="F25" s="40">
        <v>1</v>
      </c>
      <c r="G25" s="40">
        <v>1</v>
      </c>
      <c r="H25" s="40">
        <v>1</v>
      </c>
    </row>
    <row r="26" spans="1:17" x14ac:dyDescent="0.25">
      <c r="A26" s="38"/>
      <c r="B26" s="38"/>
      <c r="C26" s="38" t="s">
        <v>67</v>
      </c>
      <c r="D26" s="39"/>
      <c r="E26" s="49" t="s">
        <v>57</v>
      </c>
      <c r="F26" s="40">
        <v>0.5</v>
      </c>
      <c r="G26" s="40">
        <v>0.5</v>
      </c>
      <c r="H26" s="40">
        <v>0.5</v>
      </c>
    </row>
    <row r="27" spans="1:17" x14ac:dyDescent="0.25">
      <c r="A27" s="38"/>
      <c r="B27" s="38"/>
      <c r="C27" s="38" t="s">
        <v>69</v>
      </c>
      <c r="D27" s="39"/>
      <c r="E27" s="49" t="s">
        <v>70</v>
      </c>
      <c r="F27" s="40">
        <v>1</v>
      </c>
      <c r="G27" s="40">
        <v>1</v>
      </c>
      <c r="H27" s="40">
        <v>0.5</v>
      </c>
    </row>
    <row r="28" spans="1:17" x14ac:dyDescent="0.25">
      <c r="A28" s="38"/>
      <c r="B28" s="38"/>
      <c r="C28" s="38" t="s">
        <v>69</v>
      </c>
      <c r="D28" s="39"/>
      <c r="E28" s="49" t="s">
        <v>134</v>
      </c>
      <c r="F28" s="40">
        <v>3</v>
      </c>
      <c r="G28" s="40">
        <v>2</v>
      </c>
      <c r="H28" s="40">
        <v>1</v>
      </c>
    </row>
    <row r="29" spans="1:17" ht="45" x14ac:dyDescent="0.25">
      <c r="A29" s="38"/>
      <c r="B29" s="38"/>
      <c r="C29" s="38" t="s">
        <v>69</v>
      </c>
      <c r="D29" s="39"/>
      <c r="E29" s="114" t="s">
        <v>170</v>
      </c>
      <c r="F29" s="40">
        <v>3</v>
      </c>
      <c r="G29" s="40">
        <v>3</v>
      </c>
      <c r="H29" s="40">
        <v>2</v>
      </c>
      <c r="K29" s="45"/>
      <c r="L29" s="45"/>
    </row>
    <row r="30" spans="1:17" ht="15.75" thickBot="1" x14ac:dyDescent="0.3">
      <c r="A30" s="38"/>
      <c r="B30" s="38"/>
      <c r="C30" s="38"/>
      <c r="D30" s="39"/>
      <c r="E30" s="49" t="s">
        <v>164</v>
      </c>
      <c r="F30" s="40">
        <v>1</v>
      </c>
      <c r="G30" s="40">
        <v>0</v>
      </c>
      <c r="H30" s="40">
        <v>1</v>
      </c>
      <c r="K30" s="45"/>
      <c r="L30" s="45"/>
    </row>
    <row r="31" spans="1:17" ht="43.5" thickBot="1" x14ac:dyDescent="0.3">
      <c r="A31" s="44">
        <v>5</v>
      </c>
      <c r="B31" s="43" t="s">
        <v>71</v>
      </c>
      <c r="C31" s="43" t="s">
        <v>72</v>
      </c>
      <c r="D31" s="42">
        <f>Final!C15</f>
        <v>20</v>
      </c>
      <c r="E31" s="102" t="s">
        <v>40</v>
      </c>
      <c r="F31" s="46">
        <f>SUM(F32:F35)</f>
        <v>5</v>
      </c>
      <c r="G31" s="46">
        <f>SUM(G32:G35)</f>
        <v>4.5</v>
      </c>
      <c r="H31" s="47">
        <f>SUM(H32:H35)</f>
        <v>3.5</v>
      </c>
      <c r="K31" s="45"/>
      <c r="L31" s="45"/>
    </row>
    <row r="32" spans="1:17" x14ac:dyDescent="0.25">
      <c r="A32" s="38"/>
      <c r="B32" s="38"/>
      <c r="C32" s="38" t="s">
        <v>54</v>
      </c>
      <c r="D32" s="39"/>
      <c r="E32" s="48" t="s">
        <v>66</v>
      </c>
      <c r="F32" s="40">
        <v>0.5</v>
      </c>
      <c r="G32" s="40">
        <v>0.5</v>
      </c>
      <c r="H32" s="40">
        <v>0.5</v>
      </c>
      <c r="K32" s="45"/>
      <c r="L32" s="45"/>
    </row>
    <row r="33" spans="1:12" x14ac:dyDescent="0.25">
      <c r="A33" s="38"/>
      <c r="B33" s="38"/>
      <c r="C33" s="38" t="s">
        <v>67</v>
      </c>
      <c r="D33" s="39"/>
      <c r="E33" s="48" t="s">
        <v>66</v>
      </c>
      <c r="F33" s="40">
        <v>2</v>
      </c>
      <c r="G33" s="40">
        <v>2</v>
      </c>
      <c r="H33" s="40">
        <v>1</v>
      </c>
      <c r="K33" s="45"/>
      <c r="L33" s="45"/>
    </row>
    <row r="34" spans="1:12" x14ac:dyDescent="0.25">
      <c r="A34" s="38"/>
      <c r="B34" s="38"/>
      <c r="C34" s="38" t="s">
        <v>69</v>
      </c>
      <c r="D34" s="39"/>
      <c r="E34" s="48" t="s">
        <v>66</v>
      </c>
      <c r="F34" s="40">
        <v>1</v>
      </c>
      <c r="G34" s="40">
        <v>1</v>
      </c>
      <c r="H34" s="40">
        <v>1</v>
      </c>
      <c r="J34" s="45"/>
      <c r="K34" s="45"/>
      <c r="L34" s="45"/>
    </row>
    <row r="35" spans="1:12" x14ac:dyDescent="0.25">
      <c r="A35" s="38"/>
      <c r="B35" s="38"/>
      <c r="C35" s="38" t="s">
        <v>69</v>
      </c>
      <c r="D35" s="39"/>
      <c r="E35" s="48" t="s">
        <v>66</v>
      </c>
      <c r="F35" s="40">
        <v>1.5</v>
      </c>
      <c r="G35" s="40">
        <v>1</v>
      </c>
      <c r="H35" s="40">
        <v>1</v>
      </c>
      <c r="J35" s="45"/>
      <c r="K35" s="45"/>
      <c r="L35" s="45"/>
    </row>
    <row r="36" spans="1:12" x14ac:dyDescent="0.25">
      <c r="A36" s="123" t="s">
        <v>24</v>
      </c>
      <c r="B36" s="123"/>
      <c r="C36" s="123"/>
      <c r="D36" s="14">
        <f>SUBTOTAL(109,D11,D23,D31)</f>
        <v>55</v>
      </c>
      <c r="E36" s="123"/>
      <c r="F36" s="14">
        <f>SUBTOTAL(109,F11,F23,F31)</f>
        <v>30</v>
      </c>
      <c r="G36" s="14">
        <f>SUBTOTAL(109,G11,G23,G31)</f>
        <v>20.5</v>
      </c>
      <c r="H36" s="14">
        <f>SUBTOTAL(109,H11,H23,H31)</f>
        <v>19</v>
      </c>
    </row>
    <row r="37" spans="1:12" x14ac:dyDescent="0.25">
      <c r="E37" s="144">
        <f>SUM(Table14[[#Totals],[Day 1]:[Day 3]])</f>
        <v>69.5</v>
      </c>
      <c r="F37" s="144"/>
      <c r="G37" s="144"/>
    </row>
  </sheetData>
  <mergeCells count="6">
    <mergeCell ref="E37:G37"/>
    <mergeCell ref="J13:Q18"/>
    <mergeCell ref="A1:B7"/>
    <mergeCell ref="F4:G4"/>
    <mergeCell ref="F1:G1"/>
    <mergeCell ref="A9:H9"/>
  </mergeCells>
  <conditionalFormatting sqref="I3">
    <cfRule type="dataBar" priority="2">
      <dataBar>
        <cfvo type="num" val="0"/>
        <cfvo type="num" val="110"/>
        <color rgb="FF638EC6"/>
      </dataBar>
      <extLst>
        <ext xmlns:x14="http://schemas.microsoft.com/office/spreadsheetml/2009/9/main" uri="{B025F937-C7B1-47D3-B67F-A62EFF666E3E}">
          <x14:id>{B293FF11-2AAA-42D0-A1B1-E896F36A8189}</x14:id>
        </ext>
      </extLst>
    </cfRule>
    <cfRule type="colorScale" priority="3">
      <colorScale>
        <cfvo type="num" val="5"/>
        <cfvo type="num" val="60"/>
        <color rgb="FFFF0000"/>
        <color theme="9"/>
      </colorScale>
    </cfRule>
  </conditionalFormatting>
  <conditionalFormatting sqref="F4">
    <cfRule type="dataBar" priority="1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{F0100D26-5F4E-44C2-83F5-1FEE9E5CEB39}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93FF11-2AAA-42D0-A1B1-E896F36A8189}">
            <x14:dataBar minLength="0" maxLength="100">
              <x14:cfvo type="num">
                <xm:f>0</xm:f>
              </x14:cfvo>
              <x14:cfvo type="num">
                <xm:f>110</xm:f>
              </x14:cfvo>
              <x14:negativeFillColor rgb="FFFF0000"/>
              <x14:axisColor rgb="FF000000"/>
            </x14:dataBar>
          </x14:cfRule>
          <xm:sqref>I3</xm:sqref>
        </x14:conditionalFormatting>
        <x14:conditionalFormatting xmlns:xm="http://schemas.microsoft.com/office/excel/2006/main">
          <x14:cfRule type="dataBar" id="{F0100D26-5F4E-44C2-83F5-1FEE9E5CEB39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F4</xm:sqref>
        </x14:conditionalFormatting>
        <x14:conditionalFormatting xmlns:xm="http://schemas.microsoft.com/office/excel/2006/main">
          <x14:cfRule type="iconSet" priority="11" id="{175CCAE8-DED5-4562-AE17-7A21B7750824}">
            <x14:iconSet iconSet="5Boxes" showValue="0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B32:C35 B30 B11:C29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FF599-DD43-4E74-BC77-6827CFDB98ED}">
  <sheetPr codeName="Sheet3"/>
  <dimension ref="A1:Q35"/>
  <sheetViews>
    <sheetView topLeftCell="A8" zoomScale="85" zoomScaleNormal="85" workbookViewId="0">
      <selection activeCell="F19" sqref="F19"/>
    </sheetView>
  </sheetViews>
  <sheetFormatPr defaultRowHeight="15" x14ac:dyDescent="0.25"/>
  <cols>
    <col min="1" max="1" width="8.7109375" customWidth="1"/>
    <col min="2" max="2" width="10.85546875" customWidth="1"/>
    <col min="3" max="3" width="14.7109375" customWidth="1"/>
    <col min="4" max="4" width="16.140625" customWidth="1"/>
    <col min="5" max="5" width="45.7109375" customWidth="1"/>
    <col min="6" max="6" width="11.7109375" customWidth="1"/>
    <col min="7" max="7" width="8.85546875" bestFit="1" customWidth="1"/>
    <col min="8" max="8" width="11.28515625" customWidth="1"/>
    <col min="9" max="9" width="8.85546875" bestFit="1" customWidth="1"/>
    <col min="10" max="10" width="10.28515625" customWidth="1"/>
  </cols>
  <sheetData>
    <row r="1" spans="1:17" ht="15.75" thickBot="1" x14ac:dyDescent="0.3">
      <c r="A1" s="147"/>
      <c r="B1" s="147"/>
      <c r="E1" s="8" t="s">
        <v>0</v>
      </c>
      <c r="F1" s="143" t="s">
        <v>1</v>
      </c>
      <c r="G1" s="149"/>
      <c r="J1" s="97"/>
      <c r="K1" s="97"/>
      <c r="L1" s="97"/>
      <c r="M1" s="97"/>
      <c r="N1" s="97"/>
      <c r="O1" s="97"/>
      <c r="P1" s="97"/>
    </row>
    <row r="2" spans="1:17" ht="15.75" thickBot="1" x14ac:dyDescent="0.3">
      <c r="A2" s="147"/>
      <c r="B2" s="147"/>
      <c r="E2" s="8" t="s">
        <v>8</v>
      </c>
      <c r="F2" s="98" t="s">
        <v>9</v>
      </c>
      <c r="G2" s="99"/>
      <c r="J2" s="97"/>
      <c r="K2" s="97"/>
      <c r="L2" s="97"/>
      <c r="M2" s="97"/>
      <c r="N2" s="97"/>
      <c r="O2" s="97"/>
      <c r="P2" s="97"/>
    </row>
    <row r="3" spans="1:17" ht="15.75" thickBot="1" x14ac:dyDescent="0.3">
      <c r="A3" s="147"/>
      <c r="B3" s="147"/>
      <c r="E3" s="3" t="s">
        <v>12</v>
      </c>
      <c r="F3" s="11">
        <v>43623</v>
      </c>
      <c r="G3" s="12">
        <f ca="1">TODAY()</f>
        <v>43623</v>
      </c>
      <c r="H3" s="1" t="s">
        <v>13</v>
      </c>
      <c r="I3" s="13">
        <f ca="1">F3-G3</f>
        <v>0</v>
      </c>
      <c r="J3" s="97"/>
      <c r="K3" s="97"/>
      <c r="L3" s="97"/>
      <c r="M3" s="97"/>
      <c r="N3" s="97"/>
      <c r="O3" s="97"/>
      <c r="P3" s="97"/>
    </row>
    <row r="4" spans="1:17" ht="15.75" thickBot="1" x14ac:dyDescent="0.3">
      <c r="A4" s="147"/>
      <c r="B4" s="147"/>
      <c r="E4" s="10" t="s">
        <v>15</v>
      </c>
      <c r="F4" s="145">
        <f>(COUNTA(F12:F15,F17:F21,F23:F27,F29:F33,G12:G15,G17:G21,G23:G27,,G29:G33,H12:H15,H17:H21,H23:H27,H29:H33))/(COUNTA(E12:E15,E17:E21,E23:E27,E29:E33)*3)*100</f>
        <v>102.08333333333333</v>
      </c>
      <c r="G4" s="148"/>
      <c r="H4" s="16"/>
      <c r="J4" s="97"/>
      <c r="K4" s="97"/>
      <c r="L4" s="97"/>
      <c r="M4" s="97"/>
      <c r="N4" s="97"/>
      <c r="O4" s="97"/>
      <c r="P4" s="97"/>
    </row>
    <row r="5" spans="1:17" ht="15.75" thickBot="1" x14ac:dyDescent="0.3">
      <c r="A5" s="147"/>
      <c r="B5" s="147"/>
      <c r="E5" s="3" t="s">
        <v>17</v>
      </c>
      <c r="F5" s="9" t="s">
        <v>17</v>
      </c>
      <c r="G5" s="51" t="s">
        <v>18</v>
      </c>
      <c r="H5" s="54" t="s">
        <v>50</v>
      </c>
      <c r="I5" s="55"/>
      <c r="J5" s="97"/>
      <c r="K5" s="97"/>
      <c r="L5" s="97"/>
      <c r="M5" s="97"/>
      <c r="N5" s="97"/>
      <c r="O5" s="97"/>
      <c r="P5" s="97"/>
    </row>
    <row r="6" spans="1:17" ht="15.75" thickBot="1" x14ac:dyDescent="0.3">
      <c r="A6" s="147"/>
      <c r="B6" s="147"/>
      <c r="E6" s="3" t="s">
        <v>17</v>
      </c>
      <c r="F6" s="4" t="s">
        <v>17</v>
      </c>
      <c r="G6" s="51" t="s">
        <v>17</v>
      </c>
      <c r="H6" s="53" t="s">
        <v>51</v>
      </c>
      <c r="I6" s="56"/>
      <c r="J6" s="97"/>
      <c r="K6" s="97"/>
      <c r="L6" s="97"/>
      <c r="M6" s="97"/>
      <c r="N6" s="97"/>
      <c r="O6" s="97"/>
      <c r="P6" s="97"/>
    </row>
    <row r="7" spans="1:17" ht="15.75" thickBot="1" x14ac:dyDescent="0.3">
      <c r="A7" s="147"/>
      <c r="B7" s="147"/>
      <c r="E7" s="3" t="s">
        <v>21</v>
      </c>
      <c r="F7" s="7">
        <f>Table145[[#Totals],[Estimate]]</f>
        <v>60</v>
      </c>
      <c r="G7" s="52">
        <f>SUM(Table145[[#Totals],[Day 1]:[Day 3]])</f>
        <v>28.95</v>
      </c>
      <c r="H7" s="54" t="s">
        <v>52</v>
      </c>
      <c r="I7" s="57"/>
      <c r="J7" s="97"/>
      <c r="K7" s="97"/>
      <c r="L7" s="97"/>
      <c r="M7" s="97"/>
      <c r="N7" s="97"/>
      <c r="O7" s="97"/>
      <c r="P7" s="97"/>
    </row>
    <row r="8" spans="1:17" ht="15.75" thickBot="1" x14ac:dyDescent="0.3">
      <c r="A8" s="17"/>
      <c r="B8" s="17"/>
      <c r="C8" s="17"/>
      <c r="D8" s="17"/>
      <c r="E8" s="17"/>
      <c r="F8" s="17"/>
      <c r="G8" s="17"/>
      <c r="I8" s="97"/>
      <c r="J8" s="97"/>
      <c r="K8" s="97"/>
      <c r="L8" s="97"/>
      <c r="M8" s="97"/>
      <c r="N8" s="97"/>
      <c r="O8" s="97"/>
      <c r="P8" s="97"/>
    </row>
    <row r="9" spans="1:17" ht="15.75" thickBot="1" x14ac:dyDescent="0.3">
      <c r="A9" s="143" t="s">
        <v>1</v>
      </c>
      <c r="B9" s="150"/>
      <c r="C9" s="150"/>
      <c r="D9" s="150"/>
      <c r="E9" s="150"/>
      <c r="F9" s="150"/>
      <c r="G9" s="149"/>
      <c r="I9" s="97"/>
      <c r="J9" s="97"/>
      <c r="K9" s="97"/>
      <c r="L9" s="97"/>
      <c r="M9" s="97"/>
      <c r="N9" s="97"/>
      <c r="O9" s="97"/>
      <c r="P9" s="97"/>
    </row>
    <row r="10" spans="1:17" ht="15.75" thickBot="1" x14ac:dyDescent="0.3">
      <c r="A10" s="83" t="s">
        <v>3</v>
      </c>
      <c r="B10" s="84" t="s">
        <v>25</v>
      </c>
      <c r="C10" s="84" t="s">
        <v>53</v>
      </c>
      <c r="D10" s="84" t="s">
        <v>26</v>
      </c>
      <c r="E10" s="83" t="s">
        <v>27</v>
      </c>
      <c r="F10" s="84" t="s">
        <v>28</v>
      </c>
      <c r="G10" s="84" t="s">
        <v>29</v>
      </c>
      <c r="H10" s="84" t="s">
        <v>30</v>
      </c>
      <c r="J10" s="97"/>
      <c r="K10" s="97"/>
      <c r="L10" s="97"/>
      <c r="M10" s="97"/>
      <c r="N10" s="97"/>
      <c r="O10" s="97"/>
      <c r="P10" s="97"/>
      <c r="Q10" s="97"/>
    </row>
    <row r="11" spans="1:17" ht="29.25" thickBot="1" x14ac:dyDescent="0.3">
      <c r="A11" s="85">
        <v>3</v>
      </c>
      <c r="B11" s="86" t="s">
        <v>35</v>
      </c>
      <c r="C11" s="86" t="s">
        <v>67</v>
      </c>
      <c r="D11" s="87">
        <f>Final!C13</f>
        <v>10</v>
      </c>
      <c r="E11" s="62" t="s">
        <v>136</v>
      </c>
      <c r="F11" s="88">
        <f>SUM(F12:F15)</f>
        <v>3.2</v>
      </c>
      <c r="G11" s="88">
        <f>SUM(G12:G15)</f>
        <v>0.75</v>
      </c>
      <c r="H11" s="88">
        <f>SUM(H12:H15)</f>
        <v>0.75</v>
      </c>
      <c r="J11" s="97"/>
      <c r="K11" s="97"/>
      <c r="L11" s="97"/>
      <c r="M11" s="97"/>
      <c r="N11" s="97"/>
      <c r="O11" s="97"/>
      <c r="P11" s="97"/>
      <c r="Q11" s="97"/>
    </row>
    <row r="12" spans="1:17" x14ac:dyDescent="0.25">
      <c r="A12" s="89"/>
      <c r="B12" s="89"/>
      <c r="C12" s="89"/>
      <c r="D12" s="90"/>
      <c r="E12" s="50" t="s">
        <v>148</v>
      </c>
      <c r="F12" s="91">
        <v>0.2</v>
      </c>
      <c r="G12" s="91">
        <v>0.5</v>
      </c>
      <c r="H12" s="91">
        <v>0</v>
      </c>
      <c r="J12" s="97"/>
      <c r="K12" s="97"/>
      <c r="L12" s="97"/>
      <c r="M12" s="97"/>
      <c r="N12" s="97"/>
      <c r="O12" s="97"/>
      <c r="P12" s="97"/>
      <c r="Q12" s="97"/>
    </row>
    <row r="13" spans="1:17" x14ac:dyDescent="0.25">
      <c r="A13" s="89"/>
      <c r="B13" s="89"/>
      <c r="C13" s="89"/>
      <c r="D13" s="90"/>
      <c r="E13" s="48" t="s">
        <v>57</v>
      </c>
      <c r="F13" s="91">
        <v>2</v>
      </c>
      <c r="G13" s="91">
        <v>0</v>
      </c>
      <c r="H13" s="91">
        <v>0.5</v>
      </c>
      <c r="J13" s="142" t="s">
        <v>37</v>
      </c>
      <c r="K13" s="142"/>
      <c r="L13" s="142"/>
      <c r="M13" s="142"/>
      <c r="N13" s="142"/>
      <c r="O13" s="142"/>
      <c r="P13" s="142"/>
      <c r="Q13" s="142"/>
    </row>
    <row r="14" spans="1:17" x14ac:dyDescent="0.25">
      <c r="A14" s="89"/>
      <c r="B14" s="89"/>
      <c r="C14" s="89"/>
      <c r="D14" s="90"/>
      <c r="E14" s="50" t="s">
        <v>137</v>
      </c>
      <c r="F14" s="91">
        <v>1</v>
      </c>
      <c r="G14" s="91">
        <v>0.25</v>
      </c>
      <c r="H14" s="91">
        <v>0.25</v>
      </c>
      <c r="J14" s="142"/>
      <c r="K14" s="142"/>
      <c r="L14" s="142"/>
      <c r="M14" s="142"/>
      <c r="N14" s="142"/>
      <c r="O14" s="142"/>
      <c r="P14" s="142"/>
      <c r="Q14" s="142"/>
    </row>
    <row r="15" spans="1:17" ht="15.75" thickBot="1" x14ac:dyDescent="0.3">
      <c r="A15" s="89"/>
      <c r="B15" s="89"/>
      <c r="C15" s="89"/>
      <c r="D15" s="90"/>
      <c r="E15" s="58"/>
      <c r="F15" s="91"/>
      <c r="G15" s="91"/>
      <c r="H15" s="91"/>
      <c r="J15" s="142"/>
      <c r="K15" s="142"/>
      <c r="L15" s="142"/>
      <c r="M15" s="142"/>
      <c r="N15" s="142"/>
      <c r="O15" s="142"/>
      <c r="P15" s="142"/>
      <c r="Q15" s="142"/>
    </row>
    <row r="16" spans="1:17" ht="43.5" thickBot="1" x14ac:dyDescent="0.3">
      <c r="A16" s="85">
        <v>11</v>
      </c>
      <c r="B16" s="86" t="s">
        <v>71</v>
      </c>
      <c r="C16" s="86" t="s">
        <v>69</v>
      </c>
      <c r="D16" s="87">
        <f>Final!C21</f>
        <v>15</v>
      </c>
      <c r="E16" s="110" t="s">
        <v>47</v>
      </c>
      <c r="F16" s="88">
        <f>SUM(F17:F21)</f>
        <v>4.5</v>
      </c>
      <c r="G16" s="88">
        <f>SUM(G17:G21)</f>
        <v>2.5</v>
      </c>
      <c r="H16" s="92">
        <f>SUM(H17:H21)</f>
        <v>3</v>
      </c>
      <c r="J16" s="142"/>
      <c r="K16" s="142"/>
      <c r="L16" s="142"/>
      <c r="M16" s="142"/>
      <c r="N16" s="142"/>
      <c r="O16" s="142"/>
      <c r="P16" s="142"/>
      <c r="Q16" s="142"/>
    </row>
    <row r="17" spans="1:17" ht="30" x14ac:dyDescent="0.25">
      <c r="A17" s="89"/>
      <c r="B17" s="89"/>
      <c r="C17" s="89"/>
      <c r="D17" s="90"/>
      <c r="E17" s="48" t="s">
        <v>162</v>
      </c>
      <c r="F17" s="91">
        <v>2</v>
      </c>
      <c r="G17" s="91">
        <v>2</v>
      </c>
      <c r="H17" s="91">
        <v>2</v>
      </c>
      <c r="J17" s="142"/>
      <c r="K17" s="142"/>
      <c r="L17" s="142"/>
      <c r="M17" s="142"/>
      <c r="N17" s="142"/>
      <c r="O17" s="142"/>
      <c r="P17" s="142"/>
      <c r="Q17" s="142"/>
    </row>
    <row r="18" spans="1:17" x14ac:dyDescent="0.25">
      <c r="A18" s="89"/>
      <c r="B18" s="89"/>
      <c r="C18" s="89"/>
      <c r="D18" s="90"/>
      <c r="E18" s="49" t="s">
        <v>163</v>
      </c>
      <c r="F18" s="91">
        <v>1</v>
      </c>
      <c r="G18" s="91">
        <v>0</v>
      </c>
      <c r="H18" s="91">
        <v>0</v>
      </c>
      <c r="J18" s="142"/>
      <c r="K18" s="142"/>
      <c r="L18" s="142"/>
      <c r="M18" s="142"/>
      <c r="N18" s="142"/>
      <c r="O18" s="142"/>
      <c r="P18" s="142"/>
      <c r="Q18" s="142"/>
    </row>
    <row r="19" spans="1:17" x14ac:dyDescent="0.25">
      <c r="A19" s="89"/>
      <c r="B19" s="89"/>
      <c r="C19" s="89"/>
      <c r="D19" s="90"/>
      <c r="E19" s="103" t="s">
        <v>164</v>
      </c>
      <c r="F19" s="91">
        <v>1</v>
      </c>
      <c r="G19" s="91">
        <v>0</v>
      </c>
      <c r="H19" s="91">
        <v>1</v>
      </c>
    </row>
    <row r="20" spans="1:17" x14ac:dyDescent="0.25">
      <c r="A20" s="89"/>
      <c r="B20" s="89"/>
      <c r="C20" s="89"/>
      <c r="D20" s="90"/>
      <c r="E20" s="49" t="s">
        <v>161</v>
      </c>
      <c r="F20" s="91">
        <v>0.5</v>
      </c>
      <c r="G20" s="91">
        <v>0.5</v>
      </c>
      <c r="H20" s="91">
        <v>0</v>
      </c>
    </row>
    <row r="21" spans="1:17" ht="15.75" thickBot="1" x14ac:dyDescent="0.3">
      <c r="A21" s="89"/>
      <c r="B21" s="89"/>
      <c r="C21" s="89"/>
      <c r="D21" s="90"/>
      <c r="E21" s="59"/>
      <c r="F21" s="91"/>
      <c r="G21" s="91"/>
      <c r="H21" s="91"/>
    </row>
    <row r="22" spans="1:17" ht="43.5" thickBot="1" x14ac:dyDescent="0.3">
      <c r="A22" s="85">
        <v>6</v>
      </c>
      <c r="B22" s="86" t="s">
        <v>71</v>
      </c>
      <c r="C22" s="86" t="s">
        <v>67</v>
      </c>
      <c r="D22" s="87">
        <f>Final!C16</f>
        <v>10</v>
      </c>
      <c r="E22" s="113" t="s">
        <v>42</v>
      </c>
      <c r="F22" s="88">
        <f>SUM(F23:F27)</f>
        <v>2.5</v>
      </c>
      <c r="G22" s="88">
        <f>SUM(G23:G27)</f>
        <v>3</v>
      </c>
      <c r="H22" s="88">
        <f>SUM(H23:H27)</f>
        <v>1.5</v>
      </c>
    </row>
    <row r="23" spans="1:17" x14ac:dyDescent="0.25">
      <c r="A23" s="93"/>
      <c r="B23" s="93"/>
      <c r="C23" s="93"/>
      <c r="D23" s="94"/>
      <c r="E23" s="121" t="s">
        <v>57</v>
      </c>
      <c r="F23" s="111">
        <v>1</v>
      </c>
      <c r="G23" s="111">
        <v>1</v>
      </c>
      <c r="H23" s="111">
        <v>0.5</v>
      </c>
    </row>
    <row r="24" spans="1:17" x14ac:dyDescent="0.25">
      <c r="A24" s="93"/>
      <c r="B24" s="93"/>
      <c r="C24" s="93"/>
      <c r="D24" s="94"/>
      <c r="E24" s="121" t="s">
        <v>144</v>
      </c>
      <c r="F24" s="111">
        <v>0.25</v>
      </c>
      <c r="G24" s="111">
        <v>0</v>
      </c>
      <c r="H24" s="111">
        <v>0</v>
      </c>
    </row>
    <row r="25" spans="1:17" x14ac:dyDescent="0.25">
      <c r="A25" s="93"/>
      <c r="B25" s="93"/>
      <c r="C25" s="93"/>
      <c r="D25" s="94"/>
      <c r="E25" s="121" t="s">
        <v>145</v>
      </c>
      <c r="F25" s="111">
        <v>0.25</v>
      </c>
      <c r="G25" s="111">
        <v>0</v>
      </c>
      <c r="H25" s="111">
        <v>0</v>
      </c>
    </row>
    <row r="26" spans="1:17" x14ac:dyDescent="0.25">
      <c r="A26" s="93"/>
      <c r="B26" s="93"/>
      <c r="C26" s="93"/>
      <c r="D26" s="94"/>
      <c r="E26" s="121" t="s">
        <v>70</v>
      </c>
      <c r="F26" s="111">
        <v>1</v>
      </c>
      <c r="G26" s="111">
        <v>2</v>
      </c>
      <c r="H26" s="111">
        <v>1</v>
      </c>
    </row>
    <row r="27" spans="1:17" ht="15.75" thickBot="1" x14ac:dyDescent="0.3">
      <c r="A27" s="89"/>
      <c r="B27" s="89"/>
      <c r="C27" s="89"/>
      <c r="D27" s="90"/>
      <c r="E27" s="58"/>
      <c r="F27" s="111"/>
      <c r="G27" s="91"/>
      <c r="H27" s="111"/>
    </row>
    <row r="28" spans="1:17" ht="43.5" thickBot="1" x14ac:dyDescent="0.3">
      <c r="A28" s="85">
        <v>9</v>
      </c>
      <c r="B28" s="86" t="s">
        <v>71</v>
      </c>
      <c r="C28" s="86" t="s">
        <v>54</v>
      </c>
      <c r="D28" s="87">
        <f>Final!C19</f>
        <v>25</v>
      </c>
      <c r="E28" s="61" t="s">
        <v>45</v>
      </c>
      <c r="F28" s="88">
        <f>SUM(F29:F33)</f>
        <v>4.25</v>
      </c>
      <c r="G28" s="88">
        <f>SUM(G29:G33)</f>
        <v>2</v>
      </c>
      <c r="H28" s="88">
        <f>SUM(H29:H33)</f>
        <v>1</v>
      </c>
    </row>
    <row r="29" spans="1:17" x14ac:dyDescent="0.25">
      <c r="A29" s="93"/>
      <c r="B29" s="93"/>
      <c r="C29" s="95"/>
      <c r="D29" s="94"/>
      <c r="E29" s="119" t="s">
        <v>138</v>
      </c>
      <c r="F29" s="111">
        <v>1</v>
      </c>
      <c r="G29" s="111">
        <v>1</v>
      </c>
      <c r="H29" s="111">
        <v>0</v>
      </c>
    </row>
    <row r="30" spans="1:17" x14ac:dyDescent="0.25">
      <c r="A30" s="93"/>
      <c r="B30" s="93"/>
      <c r="C30" s="95"/>
      <c r="D30" s="94"/>
      <c r="E30" s="119" t="s">
        <v>139</v>
      </c>
      <c r="F30" s="111">
        <v>1</v>
      </c>
      <c r="G30" s="111">
        <v>0</v>
      </c>
      <c r="H30" s="111">
        <v>1</v>
      </c>
    </row>
    <row r="31" spans="1:17" x14ac:dyDescent="0.25">
      <c r="A31" s="93"/>
      <c r="B31" s="93"/>
      <c r="C31" s="95"/>
      <c r="D31" s="94"/>
      <c r="E31" s="119" t="s">
        <v>146</v>
      </c>
      <c r="F31" s="111">
        <v>1</v>
      </c>
      <c r="G31" s="111">
        <v>1</v>
      </c>
      <c r="H31" s="111">
        <v>0</v>
      </c>
    </row>
    <row r="32" spans="1:17" x14ac:dyDescent="0.25">
      <c r="A32" s="93"/>
      <c r="B32" s="93" t="s">
        <v>143</v>
      </c>
      <c r="C32" s="95"/>
      <c r="D32" s="94"/>
      <c r="E32" s="120" t="s">
        <v>141</v>
      </c>
      <c r="F32" s="111">
        <v>0.25</v>
      </c>
      <c r="G32" s="111">
        <v>0</v>
      </c>
      <c r="H32" s="111">
        <v>0</v>
      </c>
    </row>
    <row r="33" spans="1:8" x14ac:dyDescent="0.25">
      <c r="A33" s="93"/>
      <c r="B33" s="93" t="s">
        <v>143</v>
      </c>
      <c r="C33" s="95"/>
      <c r="D33" s="94"/>
      <c r="E33" s="120" t="s">
        <v>140</v>
      </c>
      <c r="F33" s="111">
        <v>1</v>
      </c>
      <c r="G33" s="111">
        <v>0</v>
      </c>
      <c r="H33" s="111">
        <v>0</v>
      </c>
    </row>
    <row r="34" spans="1:8" x14ac:dyDescent="0.25">
      <c r="A34" s="65" t="s">
        <v>24</v>
      </c>
      <c r="B34" s="65"/>
      <c r="C34" s="65"/>
      <c r="D34" s="96">
        <f>SUBTOTAL(109,Table145[Estimate])</f>
        <v>60</v>
      </c>
      <c r="E34" s="65"/>
      <c r="F34" s="96">
        <f>SUM(F11,F16,F22,F28)</f>
        <v>14.45</v>
      </c>
      <c r="G34" s="96">
        <f>SUM(G11,G16,G22,G28)</f>
        <v>8.25</v>
      </c>
      <c r="H34" s="96">
        <f>SUM(H11,H16,H22,H28)</f>
        <v>6.25</v>
      </c>
    </row>
    <row r="35" spans="1:8" x14ac:dyDescent="0.25">
      <c r="F35" s="144">
        <f>SUM(Table145[[#Totals],[Day 1]:[Day 3]])</f>
        <v>28.95</v>
      </c>
      <c r="G35" s="144"/>
      <c r="H35" s="144"/>
    </row>
  </sheetData>
  <mergeCells count="6">
    <mergeCell ref="F35:H35"/>
    <mergeCell ref="A1:B7"/>
    <mergeCell ref="F4:G4"/>
    <mergeCell ref="A9:G9"/>
    <mergeCell ref="J13:Q18"/>
    <mergeCell ref="F1:G1"/>
  </mergeCells>
  <phoneticPr fontId="24" type="noConversion"/>
  <conditionalFormatting sqref="I3">
    <cfRule type="dataBar" priority="2">
      <dataBar>
        <cfvo type="num" val="0"/>
        <cfvo type="num" val="110"/>
        <color rgb="FF638EC6"/>
      </dataBar>
      <extLst>
        <ext xmlns:x14="http://schemas.microsoft.com/office/spreadsheetml/2009/9/main" uri="{B025F937-C7B1-47D3-B67F-A62EFF666E3E}">
          <x14:id>{C7A3767C-2333-4491-9814-1B3F321B5953}</x14:id>
        </ext>
      </extLst>
    </cfRule>
    <cfRule type="colorScale" priority="3">
      <colorScale>
        <cfvo type="num" val="5"/>
        <cfvo type="num" val="60"/>
        <color rgb="FFFF0000"/>
        <color theme="9"/>
      </colorScale>
    </cfRule>
  </conditionalFormatting>
  <conditionalFormatting sqref="F4">
    <cfRule type="dataBar" priority="1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{797F8522-C2BA-44DA-BD50-B8EB0BAF6D59}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A3767C-2333-4491-9814-1B3F321B5953}">
            <x14:dataBar minLength="0" maxLength="100">
              <x14:cfvo type="num">
                <xm:f>0</xm:f>
              </x14:cfvo>
              <x14:cfvo type="num">
                <xm:f>110</xm:f>
              </x14:cfvo>
              <x14:negativeFillColor rgb="FFFF0000"/>
              <x14:axisColor rgb="FF000000"/>
            </x14:dataBar>
          </x14:cfRule>
          <xm:sqref>I3</xm:sqref>
        </x14:conditionalFormatting>
        <x14:conditionalFormatting xmlns:xm="http://schemas.microsoft.com/office/excel/2006/main">
          <x14:cfRule type="dataBar" id="{797F8522-C2BA-44DA-BD50-B8EB0BAF6D59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F4</xm:sqref>
        </x14:conditionalFormatting>
        <x14:conditionalFormatting xmlns:xm="http://schemas.microsoft.com/office/excel/2006/main">
          <x14:cfRule type="iconSet" priority="12" id="{238A7DEA-A2B0-4B7E-9D08-3D6496905738}">
            <x14:iconSet iconSet="5Boxes" showValue="0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B27:C27 B11:C21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5BD0B-B71A-467C-A4EB-6ADC0771FB4F}">
  <sheetPr codeName="Sheet4"/>
  <dimension ref="A1:Q24"/>
  <sheetViews>
    <sheetView zoomScale="85" zoomScaleNormal="85" workbookViewId="0">
      <selection activeCell="I24" sqref="A9:I24"/>
    </sheetView>
  </sheetViews>
  <sheetFormatPr defaultRowHeight="15" x14ac:dyDescent="0.25"/>
  <cols>
    <col min="1" max="1" width="8.7109375" customWidth="1"/>
    <col min="2" max="2" width="10.85546875" customWidth="1"/>
    <col min="3" max="3" width="14.7109375" customWidth="1"/>
    <col min="4" max="4" width="16.140625" customWidth="1"/>
    <col min="5" max="5" width="45.7109375" customWidth="1"/>
    <col min="6" max="6" width="11.7109375" customWidth="1"/>
    <col min="7" max="7" width="8.85546875" bestFit="1" customWidth="1"/>
    <col min="8" max="8" width="11.28515625" customWidth="1"/>
    <col min="9" max="9" width="8.85546875" bestFit="1" customWidth="1"/>
    <col min="10" max="10" width="10.28515625" customWidth="1"/>
  </cols>
  <sheetData>
    <row r="1" spans="1:17" ht="15.75" thickBot="1" x14ac:dyDescent="0.3">
      <c r="A1" s="147"/>
      <c r="B1" s="147"/>
      <c r="E1" s="8" t="s">
        <v>0</v>
      </c>
      <c r="F1" s="143" t="s">
        <v>1</v>
      </c>
      <c r="G1" s="149"/>
      <c r="J1" s="104"/>
      <c r="K1" s="104"/>
      <c r="L1" s="104"/>
      <c r="M1" s="104"/>
      <c r="N1" s="104"/>
      <c r="O1" s="104"/>
      <c r="P1" s="104"/>
    </row>
    <row r="2" spans="1:17" ht="15.75" thickBot="1" x14ac:dyDescent="0.3">
      <c r="A2" s="147"/>
      <c r="B2" s="147"/>
      <c r="E2" s="8" t="s">
        <v>8</v>
      </c>
      <c r="F2" s="105" t="s">
        <v>9</v>
      </c>
      <c r="G2" s="106"/>
      <c r="J2" s="104"/>
      <c r="K2" s="104"/>
      <c r="L2" s="104"/>
      <c r="M2" s="104"/>
      <c r="N2" s="104"/>
      <c r="O2" s="104"/>
      <c r="P2" s="104"/>
    </row>
    <row r="3" spans="1:17" ht="15.75" thickBot="1" x14ac:dyDescent="0.3">
      <c r="A3" s="147"/>
      <c r="B3" s="147"/>
      <c r="E3" s="3" t="s">
        <v>12</v>
      </c>
      <c r="F3" s="11">
        <v>43623</v>
      </c>
      <c r="G3" s="12">
        <f ca="1">TODAY()</f>
        <v>43623</v>
      </c>
      <c r="H3" s="1" t="s">
        <v>13</v>
      </c>
      <c r="I3" s="13">
        <f ca="1">F3-G3</f>
        <v>0</v>
      </c>
      <c r="J3" s="104"/>
      <c r="K3" s="104"/>
      <c r="L3" s="104"/>
      <c r="M3" s="104"/>
      <c r="N3" s="104"/>
      <c r="O3" s="104"/>
      <c r="P3" s="104"/>
    </row>
    <row r="4" spans="1:17" ht="15.75" thickBot="1" x14ac:dyDescent="0.3">
      <c r="A4" s="147"/>
      <c r="B4" s="147"/>
      <c r="E4" s="10" t="s">
        <v>15</v>
      </c>
      <c r="F4" s="145">
        <f>(COUNTA(F12:F18,F20:F22,G12:G18,G20:G22,H12:H18,H20:H22))/(COUNTA(E12:E18,E20:E22)*3)*100</f>
        <v>90</v>
      </c>
      <c r="G4" s="148"/>
      <c r="H4" s="16"/>
      <c r="J4" s="104"/>
      <c r="K4" s="104"/>
      <c r="L4" s="104"/>
      <c r="M4" s="104"/>
      <c r="N4" s="104"/>
      <c r="O4" s="104"/>
      <c r="P4" s="104"/>
    </row>
    <row r="5" spans="1:17" ht="15.75" thickBot="1" x14ac:dyDescent="0.3">
      <c r="A5" s="147"/>
      <c r="B5" s="147"/>
      <c r="E5" s="3" t="s">
        <v>17</v>
      </c>
      <c r="F5" s="9" t="s">
        <v>17</v>
      </c>
      <c r="G5" s="51" t="s">
        <v>18</v>
      </c>
      <c r="H5" s="54" t="s">
        <v>50</v>
      </c>
      <c r="I5" s="55"/>
      <c r="J5" s="104"/>
      <c r="K5" s="104"/>
      <c r="L5" s="104"/>
      <c r="M5" s="104"/>
      <c r="N5" s="104"/>
      <c r="O5" s="104"/>
      <c r="P5" s="104"/>
    </row>
    <row r="6" spans="1:17" ht="15.75" thickBot="1" x14ac:dyDescent="0.3">
      <c r="A6" s="147"/>
      <c r="B6" s="147"/>
      <c r="E6" s="3" t="s">
        <v>17</v>
      </c>
      <c r="F6" s="4" t="s">
        <v>17</v>
      </c>
      <c r="G6" s="51" t="s">
        <v>17</v>
      </c>
      <c r="H6" s="53" t="s">
        <v>51</v>
      </c>
      <c r="I6" s="56"/>
      <c r="J6" s="104"/>
      <c r="K6" s="104"/>
      <c r="L6" s="104"/>
      <c r="M6" s="104"/>
      <c r="N6" s="104"/>
      <c r="O6" s="104"/>
      <c r="P6" s="104"/>
    </row>
    <row r="7" spans="1:17" ht="15.75" thickBot="1" x14ac:dyDescent="0.3">
      <c r="A7" s="147"/>
      <c r="B7" s="147"/>
      <c r="E7" s="3" t="s">
        <v>21</v>
      </c>
      <c r="F7" s="7">
        <f>Table1456[[#Totals],[Estimate]]</f>
        <v>20</v>
      </c>
      <c r="G7" s="52">
        <f>SUM(Table1456[[#Totals],[Day 1]:[Day 3]])</f>
        <v>26.5</v>
      </c>
      <c r="H7" s="54" t="s">
        <v>52</v>
      </c>
      <c r="I7" s="57"/>
      <c r="J7" s="104"/>
      <c r="K7" s="104"/>
      <c r="L7" s="104"/>
      <c r="M7" s="104"/>
      <c r="N7" s="104"/>
      <c r="O7" s="104"/>
      <c r="P7" s="104"/>
    </row>
    <row r="8" spans="1:17" ht="15.75" thickBot="1" x14ac:dyDescent="0.3">
      <c r="A8" s="17"/>
      <c r="B8" s="17"/>
      <c r="C8" s="17"/>
      <c r="D8" s="17"/>
      <c r="E8" s="17"/>
      <c r="F8" s="17"/>
      <c r="G8" s="17"/>
      <c r="I8" s="104"/>
      <c r="J8" s="104"/>
      <c r="K8" s="104"/>
      <c r="L8" s="104"/>
      <c r="M8" s="104"/>
      <c r="N8" s="104"/>
      <c r="O8" s="104"/>
      <c r="P8" s="104"/>
    </row>
    <row r="9" spans="1:17" ht="15.75" thickBot="1" x14ac:dyDescent="0.3">
      <c r="A9" s="143" t="s">
        <v>1</v>
      </c>
      <c r="B9" s="150"/>
      <c r="C9" s="150"/>
      <c r="D9" s="150"/>
      <c r="E9" s="150"/>
      <c r="F9" s="150"/>
      <c r="G9" s="149"/>
      <c r="I9" s="104"/>
      <c r="J9" s="104"/>
      <c r="K9" s="104"/>
      <c r="L9" s="104"/>
      <c r="M9" s="104"/>
      <c r="N9" s="104"/>
      <c r="O9" s="104"/>
      <c r="P9" s="104"/>
    </row>
    <row r="10" spans="1:17" ht="15.75" thickBot="1" x14ac:dyDescent="0.3">
      <c r="A10" s="83" t="s">
        <v>3</v>
      </c>
      <c r="B10" s="84" t="s">
        <v>25</v>
      </c>
      <c r="C10" s="84" t="s">
        <v>53</v>
      </c>
      <c r="D10" s="84" t="s">
        <v>26</v>
      </c>
      <c r="E10" s="83" t="s">
        <v>27</v>
      </c>
      <c r="F10" s="84" t="s">
        <v>28</v>
      </c>
      <c r="G10" s="84" t="s">
        <v>29</v>
      </c>
      <c r="H10" s="84" t="s">
        <v>30</v>
      </c>
      <c r="J10" s="104"/>
      <c r="K10" s="104"/>
      <c r="L10" s="104"/>
      <c r="M10" s="104"/>
      <c r="N10" s="104"/>
      <c r="O10" s="104"/>
      <c r="P10" s="104"/>
      <c r="Q10" s="104"/>
    </row>
    <row r="11" spans="1:17" ht="43.5" thickBot="1" x14ac:dyDescent="0.3">
      <c r="A11" s="85">
        <v>12</v>
      </c>
      <c r="B11" s="86" t="s">
        <v>35</v>
      </c>
      <c r="C11" s="86" t="s">
        <v>153</v>
      </c>
      <c r="D11" s="128">
        <f>Final!C22</f>
        <v>10</v>
      </c>
      <c r="E11" s="125" t="s">
        <v>48</v>
      </c>
      <c r="F11" s="88">
        <f>SUM(F12:F18)</f>
        <v>8</v>
      </c>
      <c r="G11" s="88">
        <f>SUM(G12:G18)</f>
        <v>6</v>
      </c>
      <c r="H11" s="92">
        <f>SUM(H12:H18)</f>
        <v>5.5</v>
      </c>
      <c r="J11" s="104"/>
      <c r="K11" s="104"/>
      <c r="L11" s="104"/>
      <c r="M11" s="104"/>
      <c r="N11" s="104"/>
      <c r="O11" s="104"/>
      <c r="P11" s="104"/>
      <c r="Q11" s="104"/>
    </row>
    <row r="12" spans="1:17" x14ac:dyDescent="0.25">
      <c r="A12" s="93"/>
      <c r="B12" s="93"/>
      <c r="C12" s="93"/>
      <c r="D12" s="94"/>
      <c r="E12" s="124" t="s">
        <v>149</v>
      </c>
      <c r="F12" s="111">
        <v>1</v>
      </c>
      <c r="G12" s="111">
        <v>1</v>
      </c>
      <c r="H12" s="111">
        <v>1</v>
      </c>
      <c r="J12" s="104"/>
      <c r="K12" s="104"/>
      <c r="L12" s="104"/>
      <c r="M12" s="104"/>
      <c r="N12" s="104"/>
      <c r="O12" s="104"/>
      <c r="P12" s="104"/>
      <c r="Q12" s="104"/>
    </row>
    <row r="13" spans="1:17" x14ac:dyDescent="0.25">
      <c r="A13" s="93"/>
      <c r="B13" s="93"/>
      <c r="C13" s="93"/>
      <c r="D13" s="94"/>
      <c r="E13" s="124" t="s">
        <v>150</v>
      </c>
      <c r="F13" s="111">
        <v>1</v>
      </c>
      <c r="G13" s="111">
        <v>1</v>
      </c>
      <c r="H13" s="111">
        <v>1</v>
      </c>
      <c r="J13" s="142" t="s">
        <v>37</v>
      </c>
      <c r="K13" s="142"/>
      <c r="L13" s="142"/>
      <c r="M13" s="142"/>
      <c r="N13" s="142"/>
      <c r="O13" s="142"/>
      <c r="P13" s="142"/>
      <c r="Q13" s="142"/>
    </row>
    <row r="14" spans="1:17" x14ac:dyDescent="0.25">
      <c r="A14" s="93"/>
      <c r="B14" s="93"/>
      <c r="C14" s="93"/>
      <c r="D14" s="94"/>
      <c r="E14" s="124" t="s">
        <v>157</v>
      </c>
      <c r="F14" s="111">
        <v>2</v>
      </c>
      <c r="G14" s="111">
        <v>1</v>
      </c>
      <c r="H14" s="111">
        <v>0.5</v>
      </c>
      <c r="J14" s="142"/>
      <c r="K14" s="142"/>
      <c r="L14" s="142"/>
      <c r="M14" s="142"/>
      <c r="N14" s="142"/>
      <c r="O14" s="142"/>
      <c r="P14" s="142"/>
      <c r="Q14" s="142"/>
    </row>
    <row r="15" spans="1:17" x14ac:dyDescent="0.25">
      <c r="A15" s="93"/>
      <c r="B15" s="93"/>
      <c r="C15" s="93"/>
      <c r="D15" s="94"/>
      <c r="E15" s="124" t="s">
        <v>158</v>
      </c>
      <c r="F15" s="111">
        <v>2</v>
      </c>
      <c r="G15" s="111">
        <v>2</v>
      </c>
      <c r="H15" s="111">
        <v>1</v>
      </c>
      <c r="J15" s="142"/>
      <c r="K15" s="142"/>
      <c r="L15" s="142"/>
      <c r="M15" s="142"/>
      <c r="N15" s="142"/>
      <c r="O15" s="142"/>
      <c r="P15" s="142"/>
      <c r="Q15" s="142"/>
    </row>
    <row r="16" spans="1:17" x14ac:dyDescent="0.25">
      <c r="A16" s="89"/>
      <c r="B16" s="89"/>
      <c r="C16" s="89"/>
      <c r="D16" s="90"/>
      <c r="E16" s="48" t="s">
        <v>159</v>
      </c>
      <c r="F16" s="91">
        <v>2</v>
      </c>
      <c r="G16" s="91">
        <v>1</v>
      </c>
      <c r="H16" s="91">
        <v>0.5</v>
      </c>
      <c r="J16" s="142"/>
      <c r="K16" s="142"/>
      <c r="L16" s="142"/>
      <c r="M16" s="142"/>
      <c r="N16" s="142"/>
      <c r="O16" s="142"/>
      <c r="P16" s="142"/>
      <c r="Q16" s="142"/>
    </row>
    <row r="17" spans="1:17" x14ac:dyDescent="0.25">
      <c r="A17" s="89"/>
      <c r="B17" s="89"/>
      <c r="C17" s="89"/>
      <c r="D17" s="90"/>
      <c r="E17" s="48" t="s">
        <v>160</v>
      </c>
      <c r="F17" s="91">
        <v>0</v>
      </c>
      <c r="G17" s="91">
        <v>0</v>
      </c>
      <c r="H17" s="91">
        <v>1.5</v>
      </c>
      <c r="J17" s="142"/>
      <c r="K17" s="142"/>
      <c r="L17" s="142"/>
      <c r="M17" s="142"/>
      <c r="N17" s="142"/>
      <c r="O17" s="142"/>
      <c r="P17" s="142"/>
      <c r="Q17" s="142"/>
    </row>
    <row r="18" spans="1:17" ht="15.75" thickBot="1" x14ac:dyDescent="0.3">
      <c r="A18" s="89"/>
      <c r="B18" s="89"/>
      <c r="C18" s="89"/>
      <c r="D18" s="90"/>
      <c r="E18" s="49" t="s">
        <v>161</v>
      </c>
      <c r="F18" s="91"/>
      <c r="G18" s="91"/>
      <c r="H18" s="91"/>
      <c r="J18" s="142"/>
      <c r="K18" s="142"/>
      <c r="L18" s="142"/>
      <c r="M18" s="142"/>
      <c r="N18" s="142"/>
      <c r="O18" s="142"/>
      <c r="P18" s="142"/>
      <c r="Q18" s="142"/>
    </row>
    <row r="19" spans="1:17" ht="43.5" thickBot="1" x14ac:dyDescent="0.3">
      <c r="A19" s="85">
        <v>13</v>
      </c>
      <c r="B19" s="86" t="s">
        <v>41</v>
      </c>
      <c r="C19" s="86" t="s">
        <v>67</v>
      </c>
      <c r="D19" s="87">
        <f>Final!C23</f>
        <v>10</v>
      </c>
      <c r="E19" s="122" t="s">
        <v>49</v>
      </c>
      <c r="F19" s="88">
        <f>SUM(F20:F22)</f>
        <v>1</v>
      </c>
      <c r="G19" s="88">
        <f>SUM(G20:G22)</f>
        <v>3</v>
      </c>
      <c r="H19" s="92">
        <f>SUM(H20:H22)</f>
        <v>3</v>
      </c>
    </row>
    <row r="20" spans="1:17" x14ac:dyDescent="0.25">
      <c r="A20" s="93"/>
      <c r="B20" s="93"/>
      <c r="C20" s="95"/>
      <c r="D20" s="94"/>
      <c r="E20" s="119" t="s">
        <v>150</v>
      </c>
      <c r="F20" s="111">
        <v>0</v>
      </c>
      <c r="G20" s="111">
        <v>1</v>
      </c>
      <c r="H20" s="111">
        <v>1</v>
      </c>
    </row>
    <row r="21" spans="1:17" x14ac:dyDescent="0.25">
      <c r="A21" s="93"/>
      <c r="B21" s="93"/>
      <c r="C21" s="95"/>
      <c r="D21" s="94"/>
      <c r="E21" s="119" t="s">
        <v>149</v>
      </c>
      <c r="F21" s="111">
        <v>0</v>
      </c>
      <c r="G21" s="111">
        <v>1</v>
      </c>
      <c r="H21" s="111">
        <v>1</v>
      </c>
    </row>
    <row r="22" spans="1:17" x14ac:dyDescent="0.25">
      <c r="A22" s="93"/>
      <c r="B22" s="93"/>
      <c r="C22" s="95"/>
      <c r="D22" s="94"/>
      <c r="E22" s="119" t="s">
        <v>151</v>
      </c>
      <c r="F22" s="111">
        <v>1</v>
      </c>
      <c r="G22" s="111">
        <v>1</v>
      </c>
      <c r="H22" s="111">
        <v>1</v>
      </c>
    </row>
    <row r="23" spans="1:17" x14ac:dyDescent="0.25">
      <c r="A23" s="65" t="s">
        <v>24</v>
      </c>
      <c r="B23" s="65"/>
      <c r="C23" s="65"/>
      <c r="D23" s="96">
        <f>SUBTOTAL(109,Table1456[Estimate])</f>
        <v>20</v>
      </c>
      <c r="E23" s="65"/>
      <c r="F23" s="96">
        <f>SUM(F12:F18,F20:F22)</f>
        <v>9</v>
      </c>
      <c r="G23" s="96">
        <f>SUM(G12:G18,G20:G22)</f>
        <v>9</v>
      </c>
      <c r="H23" s="96">
        <f>SUM(H12:H18,H20:H22)</f>
        <v>8.5</v>
      </c>
    </row>
    <row r="24" spans="1:17" x14ac:dyDescent="0.25">
      <c r="F24" s="144">
        <f>SUM(Table1456[[#Totals],[Day 1]:[Day 3]])</f>
        <v>26.5</v>
      </c>
      <c r="G24" s="144"/>
      <c r="H24" s="144"/>
    </row>
  </sheetData>
  <mergeCells count="6">
    <mergeCell ref="F24:H24"/>
    <mergeCell ref="J13:Q18"/>
    <mergeCell ref="A1:B7"/>
    <mergeCell ref="F1:G1"/>
    <mergeCell ref="F4:G4"/>
    <mergeCell ref="A9:G9"/>
  </mergeCells>
  <conditionalFormatting sqref="I3">
    <cfRule type="dataBar" priority="2">
      <dataBar>
        <cfvo type="num" val="0"/>
        <cfvo type="num" val="110"/>
        <color rgb="FF638EC6"/>
      </dataBar>
      <extLst>
        <ext xmlns:x14="http://schemas.microsoft.com/office/spreadsheetml/2009/9/main" uri="{B025F937-C7B1-47D3-B67F-A62EFF666E3E}">
          <x14:id>{6BA39B30-F344-4984-80D2-8792DFE47619}</x14:id>
        </ext>
      </extLst>
    </cfRule>
    <cfRule type="colorScale" priority="3">
      <colorScale>
        <cfvo type="num" val="5"/>
        <cfvo type="num" val="60"/>
        <color rgb="FFFF0000"/>
        <color theme="9"/>
      </colorScale>
    </cfRule>
  </conditionalFormatting>
  <conditionalFormatting sqref="F4">
    <cfRule type="dataBar" priority="1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{4B293ED2-4CE1-4D71-A017-D40499CB269E}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ignoredErrors>
    <ignoredError sqref="D19" calculatedColumn="1"/>
  </ignoredErrors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A39B30-F344-4984-80D2-8792DFE47619}">
            <x14:dataBar minLength="0" maxLength="100">
              <x14:cfvo type="num">
                <xm:f>0</xm:f>
              </x14:cfvo>
              <x14:cfvo type="num">
                <xm:f>110</xm:f>
              </x14:cfvo>
              <x14:negativeFillColor rgb="FFFF0000"/>
              <x14:axisColor rgb="FF000000"/>
            </x14:dataBar>
          </x14:cfRule>
          <xm:sqref>I3</xm:sqref>
        </x14:conditionalFormatting>
        <x14:conditionalFormatting xmlns:xm="http://schemas.microsoft.com/office/excel/2006/main">
          <x14:cfRule type="dataBar" id="{4B293ED2-4CE1-4D71-A017-D40499CB269E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F4</xm:sqref>
        </x14:conditionalFormatting>
        <x14:conditionalFormatting xmlns:xm="http://schemas.microsoft.com/office/excel/2006/main">
          <x14:cfRule type="iconSet" priority="13" id="{BFEBF6B5-E026-4EEA-8528-D47EC8EF3C52}">
            <x14:iconSet iconSet="5Boxes" showValue="0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B16:C18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D04F-A5E7-4C21-83D4-31FFCEEEDD9A}">
  <sheetPr codeName="Sheet6"/>
  <dimension ref="A1:Q30"/>
  <sheetViews>
    <sheetView zoomScale="85" zoomScaleNormal="85" workbookViewId="0">
      <selection activeCell="E19" sqref="E19"/>
    </sheetView>
  </sheetViews>
  <sheetFormatPr defaultRowHeight="15" x14ac:dyDescent="0.25"/>
  <cols>
    <col min="1" max="1" width="8.7109375" customWidth="1"/>
    <col min="2" max="2" width="10.85546875" customWidth="1"/>
    <col min="3" max="3" width="14.7109375" customWidth="1"/>
    <col min="4" max="4" width="16.140625" customWidth="1"/>
    <col min="5" max="5" width="45.7109375" customWidth="1"/>
    <col min="6" max="6" width="11.7109375" customWidth="1"/>
    <col min="7" max="7" width="8.85546875" bestFit="1" customWidth="1"/>
    <col min="8" max="8" width="11.28515625" customWidth="1"/>
    <col min="9" max="9" width="8.85546875" bestFit="1" customWidth="1"/>
    <col min="10" max="10" width="10.28515625" customWidth="1"/>
  </cols>
  <sheetData>
    <row r="1" spans="1:17" ht="15.75" thickBot="1" x14ac:dyDescent="0.3">
      <c r="A1" s="147"/>
      <c r="B1" s="147"/>
      <c r="E1" s="8" t="s">
        <v>0</v>
      </c>
      <c r="F1" s="143" t="s">
        <v>1</v>
      </c>
      <c r="G1" s="149"/>
      <c r="J1" s="107"/>
      <c r="K1" s="107"/>
      <c r="L1" s="107"/>
      <c r="M1" s="107"/>
      <c r="N1" s="107"/>
      <c r="O1" s="107"/>
      <c r="P1" s="107"/>
    </row>
    <row r="2" spans="1:17" ht="15.75" thickBot="1" x14ac:dyDescent="0.3">
      <c r="A2" s="147"/>
      <c r="B2" s="147"/>
      <c r="E2" s="8" t="s">
        <v>8</v>
      </c>
      <c r="F2" s="108" t="s">
        <v>9</v>
      </c>
      <c r="G2" s="109"/>
      <c r="J2" s="107"/>
      <c r="K2" s="107"/>
      <c r="L2" s="107"/>
      <c r="M2" s="107"/>
      <c r="N2" s="107"/>
      <c r="O2" s="107"/>
      <c r="P2" s="107"/>
    </row>
    <row r="3" spans="1:17" ht="15.75" thickBot="1" x14ac:dyDescent="0.3">
      <c r="A3" s="147"/>
      <c r="B3" s="147"/>
      <c r="E3" s="3" t="s">
        <v>12</v>
      </c>
      <c r="F3" s="11">
        <v>43623</v>
      </c>
      <c r="G3" s="12">
        <f ca="1">TODAY()</f>
        <v>43623</v>
      </c>
      <c r="H3" s="1" t="s">
        <v>13</v>
      </c>
      <c r="I3" s="13">
        <f ca="1">F3-G3</f>
        <v>0</v>
      </c>
      <c r="J3" s="107"/>
      <c r="K3" s="107"/>
      <c r="L3" s="107"/>
      <c r="M3" s="107"/>
      <c r="N3" s="107"/>
      <c r="O3" s="107"/>
      <c r="P3" s="107"/>
    </row>
    <row r="4" spans="1:17" ht="15.75" thickBot="1" x14ac:dyDescent="0.3">
      <c r="A4" s="147"/>
      <c r="B4" s="147"/>
      <c r="E4" s="10" t="s">
        <v>15</v>
      </c>
      <c r="F4" s="145">
        <f>(COUNTA(F12:F16,F18:F22,F24:F28,G12:G16,G18:G22,G24:G28,H12:H16,H18:H22,H24:H28))/(COUNTA(E12:E16,E18:E22,E24:E28)*3)*100</f>
        <v>100</v>
      </c>
      <c r="G4" s="148"/>
      <c r="H4" s="16"/>
      <c r="J4" s="107"/>
      <c r="K4" s="107"/>
      <c r="L4" s="107"/>
      <c r="M4" s="107"/>
      <c r="N4" s="107"/>
      <c r="O4" s="107"/>
      <c r="P4" s="107"/>
    </row>
    <row r="5" spans="1:17" ht="15.75" thickBot="1" x14ac:dyDescent="0.3">
      <c r="A5" s="147"/>
      <c r="B5" s="147"/>
      <c r="E5" s="3" t="s">
        <v>17</v>
      </c>
      <c r="F5" s="9" t="s">
        <v>17</v>
      </c>
      <c r="G5" s="51" t="s">
        <v>18</v>
      </c>
      <c r="H5" s="54" t="s">
        <v>50</v>
      </c>
      <c r="I5" s="55"/>
      <c r="J5" s="107"/>
      <c r="K5" s="107"/>
      <c r="L5" s="107"/>
      <c r="M5" s="107"/>
      <c r="N5" s="107"/>
      <c r="O5" s="107"/>
      <c r="P5" s="107"/>
    </row>
    <row r="6" spans="1:17" ht="15.75" thickBot="1" x14ac:dyDescent="0.3">
      <c r="A6" s="147"/>
      <c r="B6" s="147"/>
      <c r="E6" s="3" t="s">
        <v>17</v>
      </c>
      <c r="F6" s="4" t="s">
        <v>17</v>
      </c>
      <c r="G6" s="51" t="s">
        <v>17</v>
      </c>
      <c r="H6" s="53" t="s">
        <v>51</v>
      </c>
      <c r="I6" s="56"/>
      <c r="J6" s="107"/>
      <c r="K6" s="107"/>
      <c r="L6" s="107"/>
      <c r="M6" s="107"/>
      <c r="N6" s="107"/>
      <c r="O6" s="107"/>
      <c r="P6" s="107"/>
    </row>
    <row r="7" spans="1:17" ht="15.75" thickBot="1" x14ac:dyDescent="0.3">
      <c r="A7" s="147"/>
      <c r="B7" s="147"/>
      <c r="E7" s="3" t="s">
        <v>21</v>
      </c>
      <c r="F7" s="7">
        <f>Table14567[[#Totals],[Estimate]]</f>
        <v>45</v>
      </c>
      <c r="G7" s="52">
        <f>SUM(Table14567[[#Totals],[Day 1]:[Day 3]])</f>
        <v>40</v>
      </c>
      <c r="H7" s="54" t="s">
        <v>52</v>
      </c>
      <c r="I7" s="57"/>
      <c r="J7" s="107"/>
      <c r="K7" s="107"/>
      <c r="L7" s="107"/>
      <c r="M7" s="107"/>
      <c r="N7" s="107"/>
      <c r="O7" s="107"/>
      <c r="P7" s="107"/>
    </row>
    <row r="8" spans="1:17" ht="15.75" thickBot="1" x14ac:dyDescent="0.3">
      <c r="A8" s="17"/>
      <c r="B8" s="17"/>
      <c r="C8" s="17"/>
      <c r="D8" s="17"/>
      <c r="E8" s="17"/>
      <c r="F8" s="17"/>
      <c r="G8" s="17"/>
      <c r="I8" s="107"/>
      <c r="J8" s="107"/>
      <c r="K8" s="107"/>
      <c r="L8" s="107"/>
      <c r="M8" s="107"/>
      <c r="N8" s="107"/>
      <c r="O8" s="107"/>
      <c r="P8" s="107"/>
    </row>
    <row r="9" spans="1:17" ht="15.75" thickBot="1" x14ac:dyDescent="0.3">
      <c r="A9" s="143" t="s">
        <v>1</v>
      </c>
      <c r="B9" s="150"/>
      <c r="C9" s="150"/>
      <c r="D9" s="150"/>
      <c r="E9" s="150"/>
      <c r="F9" s="150"/>
      <c r="G9" s="149"/>
      <c r="I9" s="107"/>
      <c r="J9" s="107"/>
      <c r="K9" s="107"/>
      <c r="L9" s="107"/>
      <c r="M9" s="107"/>
      <c r="N9" s="107"/>
      <c r="O9" s="107"/>
      <c r="P9" s="107"/>
    </row>
    <row r="10" spans="1:17" ht="15.75" thickBot="1" x14ac:dyDescent="0.3">
      <c r="A10" s="83" t="s">
        <v>3</v>
      </c>
      <c r="B10" s="84" t="s">
        <v>25</v>
      </c>
      <c r="C10" s="84" t="s">
        <v>53</v>
      </c>
      <c r="D10" s="84" t="s">
        <v>26</v>
      </c>
      <c r="E10" s="83" t="s">
        <v>27</v>
      </c>
      <c r="F10" s="84" t="s">
        <v>28</v>
      </c>
      <c r="G10" s="84" t="s">
        <v>29</v>
      </c>
      <c r="H10" s="84" t="s">
        <v>30</v>
      </c>
      <c r="J10" s="107"/>
      <c r="K10" s="107"/>
      <c r="L10" s="107"/>
      <c r="M10" s="107"/>
      <c r="N10" s="107"/>
      <c r="O10" s="107"/>
      <c r="P10" s="107"/>
      <c r="Q10" s="107"/>
    </row>
    <row r="11" spans="1:17" ht="43.5" thickBot="1" x14ac:dyDescent="0.3">
      <c r="A11" s="85">
        <v>8</v>
      </c>
      <c r="B11" s="86" t="s">
        <v>38</v>
      </c>
      <c r="C11" s="86" t="s">
        <v>54</v>
      </c>
      <c r="D11" s="87">
        <f>Final!C18</f>
        <v>15</v>
      </c>
      <c r="E11" s="125" t="s">
        <v>44</v>
      </c>
      <c r="F11" s="88">
        <f>SUM(F12:F16)</f>
        <v>7</v>
      </c>
      <c r="G11" s="88">
        <f>SUM(G12:G16)</f>
        <v>5</v>
      </c>
      <c r="H11" s="88">
        <f>SUM(H12:H16)</f>
        <v>3</v>
      </c>
      <c r="J11" s="107"/>
      <c r="K11" s="107"/>
      <c r="L11" s="107"/>
      <c r="M11" s="107"/>
      <c r="N11" s="107"/>
      <c r="O11" s="107"/>
      <c r="P11" s="107"/>
      <c r="Q11" s="107"/>
    </row>
    <row r="12" spans="1:17" x14ac:dyDescent="0.25">
      <c r="A12" s="95"/>
      <c r="B12" s="95"/>
      <c r="C12" s="95"/>
      <c r="D12" s="127"/>
      <c r="E12" s="137" t="s">
        <v>149</v>
      </c>
      <c r="F12" s="111">
        <v>1</v>
      </c>
      <c r="G12" s="111">
        <v>1</v>
      </c>
      <c r="H12" s="111">
        <v>0</v>
      </c>
      <c r="J12" s="107"/>
      <c r="K12" s="107"/>
      <c r="L12" s="107"/>
      <c r="M12" s="107"/>
      <c r="N12" s="107"/>
      <c r="O12" s="107"/>
      <c r="P12" s="107"/>
      <c r="Q12" s="107"/>
    </row>
    <row r="13" spans="1:17" x14ac:dyDescent="0.25">
      <c r="A13" s="95"/>
      <c r="B13" s="95"/>
      <c r="C13" s="95"/>
      <c r="D13" s="127"/>
      <c r="E13" s="137" t="s">
        <v>150</v>
      </c>
      <c r="F13" s="111">
        <v>1</v>
      </c>
      <c r="G13" s="111">
        <v>1</v>
      </c>
      <c r="H13" s="111">
        <v>1</v>
      </c>
      <c r="J13" s="142" t="s">
        <v>37</v>
      </c>
      <c r="K13" s="142"/>
      <c r="L13" s="142"/>
      <c r="M13" s="142"/>
      <c r="N13" s="142"/>
      <c r="O13" s="142"/>
      <c r="P13" s="142"/>
      <c r="Q13" s="142"/>
    </row>
    <row r="14" spans="1:17" x14ac:dyDescent="0.25">
      <c r="A14" s="95"/>
      <c r="B14" s="95"/>
      <c r="C14" s="95"/>
      <c r="D14" s="127"/>
      <c r="E14" s="137" t="s">
        <v>154</v>
      </c>
      <c r="F14" s="111">
        <v>2</v>
      </c>
      <c r="G14" s="111">
        <v>1</v>
      </c>
      <c r="H14" s="111">
        <v>0</v>
      </c>
      <c r="J14" s="142"/>
      <c r="K14" s="142"/>
      <c r="L14" s="142"/>
      <c r="M14" s="142"/>
      <c r="N14" s="142"/>
      <c r="O14" s="142"/>
      <c r="P14" s="142"/>
      <c r="Q14" s="142"/>
    </row>
    <row r="15" spans="1:17" x14ac:dyDescent="0.25">
      <c r="A15" s="95"/>
      <c r="B15" s="95"/>
      <c r="C15" s="95"/>
      <c r="D15" s="127"/>
      <c r="E15" s="137" t="s">
        <v>155</v>
      </c>
      <c r="F15" s="111">
        <v>1</v>
      </c>
      <c r="G15" s="111">
        <v>2</v>
      </c>
      <c r="H15" s="111">
        <v>1</v>
      </c>
      <c r="J15" s="142"/>
      <c r="K15" s="142"/>
      <c r="L15" s="142"/>
      <c r="M15" s="142"/>
      <c r="N15" s="142"/>
      <c r="O15" s="142"/>
      <c r="P15" s="142"/>
      <c r="Q15" s="142"/>
    </row>
    <row r="16" spans="1:17" ht="15.75" thickBot="1" x14ac:dyDescent="0.3">
      <c r="A16" s="89"/>
      <c r="B16" s="89"/>
      <c r="C16" s="89"/>
      <c r="D16" s="90"/>
      <c r="E16" s="137" t="s">
        <v>156</v>
      </c>
      <c r="F16" s="91">
        <v>2</v>
      </c>
      <c r="G16" s="91">
        <v>0</v>
      </c>
      <c r="H16" s="91">
        <v>1</v>
      </c>
      <c r="J16" s="142"/>
      <c r="K16" s="142"/>
      <c r="L16" s="142"/>
      <c r="M16" s="142"/>
      <c r="N16" s="142"/>
      <c r="O16" s="142"/>
      <c r="P16" s="142"/>
      <c r="Q16" s="142"/>
    </row>
    <row r="17" spans="1:17" ht="43.5" thickBot="1" x14ac:dyDescent="0.3">
      <c r="A17" s="85">
        <v>10</v>
      </c>
      <c r="B17" s="86" t="s">
        <v>38</v>
      </c>
      <c r="C17" s="86" t="s">
        <v>69</v>
      </c>
      <c r="D17" s="87">
        <f>Final!C20</f>
        <v>20</v>
      </c>
      <c r="E17" s="125" t="s">
        <v>46</v>
      </c>
      <c r="F17" s="88">
        <f>SUM(F18:F22)</f>
        <v>7</v>
      </c>
      <c r="G17" s="88">
        <f>SUM(G18:G22)</f>
        <v>4</v>
      </c>
      <c r="H17" s="88">
        <f>SUM(H18:H22)</f>
        <v>2</v>
      </c>
      <c r="J17" s="142"/>
      <c r="K17" s="142"/>
      <c r="L17" s="142"/>
      <c r="M17" s="142"/>
      <c r="N17" s="142"/>
      <c r="O17" s="142"/>
      <c r="P17" s="142"/>
      <c r="Q17" s="142"/>
    </row>
    <row r="18" spans="1:17" x14ac:dyDescent="0.25">
      <c r="A18" s="95"/>
      <c r="B18" s="95"/>
      <c r="C18" s="95"/>
      <c r="D18" s="127"/>
      <c r="E18" s="119" t="s">
        <v>165</v>
      </c>
      <c r="F18" s="111">
        <v>1</v>
      </c>
      <c r="G18" s="111">
        <v>0</v>
      </c>
      <c r="H18" s="111">
        <v>0</v>
      </c>
      <c r="J18" s="142"/>
      <c r="K18" s="142"/>
      <c r="L18" s="142"/>
      <c r="M18" s="142"/>
      <c r="N18" s="142"/>
      <c r="O18" s="142"/>
      <c r="P18" s="142"/>
      <c r="Q18" s="142"/>
    </row>
    <row r="19" spans="1:17" ht="30" x14ac:dyDescent="0.25">
      <c r="A19" s="95"/>
      <c r="B19" s="95"/>
      <c r="C19" s="95"/>
      <c r="D19" s="127"/>
      <c r="E19" s="119" t="s">
        <v>167</v>
      </c>
      <c r="F19" s="111">
        <v>2</v>
      </c>
      <c r="G19" s="111">
        <v>1</v>
      </c>
      <c r="H19" s="111">
        <v>0</v>
      </c>
    </row>
    <row r="20" spans="1:17" ht="30" x14ac:dyDescent="0.25">
      <c r="A20" s="95"/>
      <c r="B20" s="95"/>
      <c r="C20" s="95"/>
      <c r="D20" s="127"/>
      <c r="E20" s="119" t="s">
        <v>166</v>
      </c>
      <c r="F20" s="111">
        <v>1</v>
      </c>
      <c r="G20" s="111">
        <v>2</v>
      </c>
      <c r="H20" s="111">
        <v>0</v>
      </c>
    </row>
    <row r="21" spans="1:17" ht="30" x14ac:dyDescent="0.25">
      <c r="A21" s="95"/>
      <c r="B21" s="95"/>
      <c r="C21" s="95"/>
      <c r="D21" s="127"/>
      <c r="E21" s="119" t="s">
        <v>168</v>
      </c>
      <c r="F21" s="111">
        <v>2</v>
      </c>
      <c r="G21" s="111">
        <v>1</v>
      </c>
      <c r="H21" s="111">
        <v>1</v>
      </c>
    </row>
    <row r="22" spans="1:17" ht="15.75" thickBot="1" x14ac:dyDescent="0.3">
      <c r="A22" s="95"/>
      <c r="B22" s="95"/>
      <c r="C22" s="95"/>
      <c r="D22" s="127"/>
      <c r="E22" s="119" t="s">
        <v>164</v>
      </c>
      <c r="F22" s="111">
        <v>1</v>
      </c>
      <c r="G22" s="111">
        <v>0</v>
      </c>
      <c r="H22" s="111">
        <v>1</v>
      </c>
    </row>
    <row r="23" spans="1:17" ht="29.25" thickBot="1" x14ac:dyDescent="0.3">
      <c r="A23" s="85">
        <v>14</v>
      </c>
      <c r="B23" s="86" t="s">
        <v>35</v>
      </c>
      <c r="C23" s="86" t="s">
        <v>67</v>
      </c>
      <c r="D23" s="87">
        <f>Final!C24</f>
        <v>10</v>
      </c>
      <c r="E23" s="125" t="s">
        <v>147</v>
      </c>
      <c r="F23" s="88">
        <f>SUM(F24:F28)</f>
        <v>8</v>
      </c>
      <c r="G23" s="88">
        <f>SUM(G24:G28)</f>
        <v>3</v>
      </c>
      <c r="H23" s="88">
        <f>SUM(H24:H28)</f>
        <v>1</v>
      </c>
    </row>
    <row r="24" spans="1:17" x14ac:dyDescent="0.25">
      <c r="A24" s="95"/>
      <c r="B24" s="95"/>
      <c r="C24" s="95"/>
      <c r="D24" s="127"/>
      <c r="E24" s="119" t="s">
        <v>149</v>
      </c>
      <c r="F24" s="111">
        <v>1</v>
      </c>
      <c r="G24" s="111">
        <v>0</v>
      </c>
      <c r="H24" s="111">
        <v>0</v>
      </c>
    </row>
    <row r="25" spans="1:17" x14ac:dyDescent="0.25">
      <c r="A25" s="95"/>
      <c r="B25" s="95"/>
      <c r="C25" s="95"/>
      <c r="D25" s="127"/>
      <c r="E25" s="119" t="s">
        <v>150</v>
      </c>
      <c r="F25" s="111">
        <v>1</v>
      </c>
      <c r="G25" s="111">
        <v>0</v>
      </c>
      <c r="H25" s="111">
        <v>0</v>
      </c>
    </row>
    <row r="26" spans="1:17" x14ac:dyDescent="0.25">
      <c r="A26" s="95"/>
      <c r="B26" s="95"/>
      <c r="C26" s="95"/>
      <c r="D26" s="127"/>
      <c r="E26" s="119" t="s">
        <v>154</v>
      </c>
      <c r="F26" s="111">
        <v>2</v>
      </c>
      <c r="G26" s="111">
        <v>1</v>
      </c>
      <c r="H26" s="111">
        <v>0</v>
      </c>
    </row>
    <row r="27" spans="1:17" x14ac:dyDescent="0.25">
      <c r="A27" s="95"/>
      <c r="B27" s="95"/>
      <c r="C27" s="95"/>
      <c r="D27" s="127"/>
      <c r="E27" s="119" t="s">
        <v>155</v>
      </c>
      <c r="F27" s="111">
        <v>2</v>
      </c>
      <c r="G27" s="111">
        <v>1</v>
      </c>
      <c r="H27" s="111">
        <v>0</v>
      </c>
    </row>
    <row r="28" spans="1:17" x14ac:dyDescent="0.25">
      <c r="A28" s="95"/>
      <c r="B28" s="95"/>
      <c r="C28" s="95"/>
      <c r="D28" s="127"/>
      <c r="E28" s="119" t="s">
        <v>156</v>
      </c>
      <c r="F28" s="111">
        <v>2</v>
      </c>
      <c r="G28" s="111">
        <v>1</v>
      </c>
      <c r="H28" s="111">
        <v>1</v>
      </c>
    </row>
    <row r="29" spans="1:17" x14ac:dyDescent="0.25">
      <c r="A29" s="65" t="s">
        <v>24</v>
      </c>
      <c r="B29" s="65"/>
      <c r="C29" s="65"/>
      <c r="D29" s="96">
        <f>SUBTOTAL(109,Table14567[Estimate])</f>
        <v>45</v>
      </c>
      <c r="E29" s="65"/>
      <c r="F29" s="96">
        <f>SUM(F11,F17,F23)</f>
        <v>22</v>
      </c>
      <c r="G29" s="96">
        <f>SUM(G11,G17,G23)</f>
        <v>12</v>
      </c>
      <c r="H29" s="96">
        <f>SUM(H11,H17,H23)</f>
        <v>6</v>
      </c>
    </row>
    <row r="30" spans="1:17" x14ac:dyDescent="0.25">
      <c r="F30" s="144">
        <f>SUM(Table14567[[#Totals],[Day 1]:[Day 3]])</f>
        <v>40</v>
      </c>
      <c r="G30" s="144"/>
      <c r="H30" s="144"/>
    </row>
  </sheetData>
  <mergeCells count="6">
    <mergeCell ref="F30:H30"/>
    <mergeCell ref="J13:Q18"/>
    <mergeCell ref="A1:B7"/>
    <mergeCell ref="F1:G1"/>
    <mergeCell ref="F4:G4"/>
    <mergeCell ref="A9:G9"/>
  </mergeCells>
  <conditionalFormatting sqref="I3">
    <cfRule type="dataBar" priority="2">
      <dataBar>
        <cfvo type="num" val="0"/>
        <cfvo type="num" val="110"/>
        <color rgb="FF638EC6"/>
      </dataBar>
      <extLst>
        <ext xmlns:x14="http://schemas.microsoft.com/office/spreadsheetml/2009/9/main" uri="{B025F937-C7B1-47D3-B67F-A62EFF666E3E}">
          <x14:id>{F93AD976-A4B4-4285-A51A-95F6D1BB27D8}</x14:id>
        </ext>
      </extLst>
    </cfRule>
    <cfRule type="colorScale" priority="3">
      <colorScale>
        <cfvo type="num" val="5"/>
        <cfvo type="num" val="60"/>
        <color rgb="FFFF0000"/>
        <color theme="9"/>
      </colorScale>
    </cfRule>
  </conditionalFormatting>
  <conditionalFormatting sqref="F4">
    <cfRule type="dataBar" priority="1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{60AA66D6-A100-4B41-BC99-D1CBFB030B0A}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3AD976-A4B4-4285-A51A-95F6D1BB27D8}">
            <x14:dataBar minLength="0" maxLength="100">
              <x14:cfvo type="num">
                <xm:f>0</xm:f>
              </x14:cfvo>
              <x14:cfvo type="num">
                <xm:f>110</xm:f>
              </x14:cfvo>
              <x14:negativeFillColor rgb="FFFF0000"/>
              <x14:axisColor rgb="FF000000"/>
            </x14:dataBar>
          </x14:cfRule>
          <xm:sqref>I3</xm:sqref>
        </x14:conditionalFormatting>
        <x14:conditionalFormatting xmlns:xm="http://schemas.microsoft.com/office/excel/2006/main">
          <x14:cfRule type="dataBar" id="{60AA66D6-A100-4B41-BC99-D1CBFB030B0A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F4</xm:sqref>
        </x14:conditionalFormatting>
        <x14:conditionalFormatting xmlns:xm="http://schemas.microsoft.com/office/excel/2006/main">
          <x14:cfRule type="iconSet" priority="16" id="{56AFBACC-8DAD-4FA7-9B3E-F89C252B5FB6}">
            <x14:iconSet iconSet="5Boxes" showValue="0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B16:C16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A60C-26DE-4202-ACA7-C7FD1A5ADC65}">
  <dimension ref="A1:Q39"/>
  <sheetViews>
    <sheetView topLeftCell="A3" zoomScale="85" zoomScaleNormal="85" workbookViewId="0">
      <selection activeCell="E30" sqref="E30:E36"/>
    </sheetView>
  </sheetViews>
  <sheetFormatPr defaultRowHeight="15" x14ac:dyDescent="0.25"/>
  <cols>
    <col min="1" max="1" width="8.7109375" customWidth="1"/>
    <col min="2" max="2" width="10.85546875" customWidth="1"/>
    <col min="3" max="3" width="14.7109375" customWidth="1"/>
    <col min="4" max="4" width="16.140625" customWidth="1"/>
    <col min="5" max="5" width="45.7109375" customWidth="1"/>
    <col min="6" max="6" width="11.7109375" customWidth="1"/>
    <col min="7" max="7" width="8.85546875" bestFit="1" customWidth="1"/>
    <col min="8" max="8" width="11.28515625" customWidth="1"/>
    <col min="9" max="9" width="8.85546875" bestFit="1" customWidth="1"/>
    <col min="10" max="10" width="10.28515625" customWidth="1"/>
  </cols>
  <sheetData>
    <row r="1" spans="1:17" ht="15.75" thickBot="1" x14ac:dyDescent="0.3">
      <c r="A1" s="147"/>
      <c r="B1" s="147"/>
      <c r="E1" s="8" t="s">
        <v>0</v>
      </c>
      <c r="F1" s="143" t="s">
        <v>1</v>
      </c>
      <c r="G1" s="149"/>
      <c r="J1" s="116"/>
      <c r="K1" s="116"/>
      <c r="L1" s="116"/>
      <c r="M1" s="116"/>
      <c r="N1" s="116"/>
      <c r="O1" s="116"/>
      <c r="P1" s="116"/>
    </row>
    <row r="2" spans="1:17" ht="15.75" thickBot="1" x14ac:dyDescent="0.3">
      <c r="A2" s="147"/>
      <c r="B2" s="147"/>
      <c r="E2" s="8" t="s">
        <v>8</v>
      </c>
      <c r="F2" s="117" t="s">
        <v>9</v>
      </c>
      <c r="G2" s="118"/>
      <c r="J2" s="116"/>
      <c r="K2" s="116"/>
      <c r="L2" s="116"/>
      <c r="M2" s="116"/>
      <c r="N2" s="116"/>
      <c r="O2" s="116"/>
      <c r="P2" s="116"/>
    </row>
    <row r="3" spans="1:17" ht="15.75" thickBot="1" x14ac:dyDescent="0.3">
      <c r="A3" s="147"/>
      <c r="B3" s="147"/>
      <c r="E3" s="3" t="s">
        <v>12</v>
      </c>
      <c r="F3" s="11">
        <v>43623</v>
      </c>
      <c r="G3" s="12">
        <f ca="1">TODAY()</f>
        <v>43623</v>
      </c>
      <c r="H3" s="1" t="s">
        <v>13</v>
      </c>
      <c r="I3" s="13">
        <f ca="1">F3-G3</f>
        <v>0</v>
      </c>
      <c r="J3" s="116"/>
      <c r="K3" s="116"/>
      <c r="L3" s="116"/>
      <c r="M3" s="116"/>
      <c r="N3" s="116"/>
      <c r="O3" s="116"/>
      <c r="P3" s="116"/>
    </row>
    <row r="4" spans="1:17" ht="15.75" thickBot="1" x14ac:dyDescent="0.3">
      <c r="A4" s="147"/>
      <c r="B4" s="147"/>
      <c r="E4" s="10" t="s">
        <v>15</v>
      </c>
      <c r="F4" s="145">
        <f>(COUNTA(F12:F16,F18:F28,F30:F37,G12:G16,G18:G28,G30:G37,H12:H16,H18:H28,H30:H37))/(COUNTA(E12:E16,E18:E28,E30:E37)*3)*100</f>
        <v>100</v>
      </c>
      <c r="G4" s="148"/>
      <c r="H4" s="16"/>
      <c r="J4" s="116"/>
      <c r="K4" s="116"/>
      <c r="L4" s="116"/>
      <c r="M4" s="116"/>
      <c r="N4" s="116"/>
      <c r="O4" s="116"/>
      <c r="P4" s="116"/>
    </row>
    <row r="5" spans="1:17" ht="15.75" thickBot="1" x14ac:dyDescent="0.3">
      <c r="A5" s="147"/>
      <c r="B5" s="147"/>
      <c r="E5" s="3" t="s">
        <v>17</v>
      </c>
      <c r="F5" s="9" t="s">
        <v>17</v>
      </c>
      <c r="G5" s="51" t="s">
        <v>18</v>
      </c>
      <c r="H5" s="54" t="s">
        <v>50</v>
      </c>
      <c r="I5" s="55"/>
      <c r="J5" s="116"/>
      <c r="K5" s="116"/>
      <c r="L5" s="116"/>
      <c r="M5" s="116"/>
      <c r="N5" s="116"/>
      <c r="O5" s="116"/>
      <c r="P5" s="116"/>
    </row>
    <row r="6" spans="1:17" ht="15.75" thickBot="1" x14ac:dyDescent="0.3">
      <c r="A6" s="147"/>
      <c r="B6" s="147"/>
      <c r="E6" s="3" t="s">
        <v>17</v>
      </c>
      <c r="F6" s="4" t="s">
        <v>17</v>
      </c>
      <c r="G6" s="51" t="s">
        <v>17</v>
      </c>
      <c r="H6" s="53" t="s">
        <v>51</v>
      </c>
      <c r="I6" s="56"/>
      <c r="J6" s="116"/>
      <c r="K6" s="116"/>
      <c r="L6" s="116"/>
      <c r="M6" s="116"/>
      <c r="N6" s="116"/>
      <c r="O6" s="116"/>
      <c r="P6" s="116"/>
    </row>
    <row r="7" spans="1:17" ht="15.75" thickBot="1" x14ac:dyDescent="0.3">
      <c r="A7" s="147"/>
      <c r="B7" s="147"/>
      <c r="E7" s="3" t="s">
        <v>21</v>
      </c>
      <c r="F7" s="7">
        <f>Table145678[[#Totals],[Estimate]]</f>
        <v>5</v>
      </c>
      <c r="G7" s="52">
        <f>SUM(Table145678[[#Totals],[Day 1]:[Day 3]])</f>
        <v>54.75</v>
      </c>
      <c r="H7" s="54" t="s">
        <v>52</v>
      </c>
      <c r="I7" s="57"/>
      <c r="J7" s="116"/>
      <c r="K7" s="116"/>
      <c r="L7" s="116"/>
      <c r="M7" s="116"/>
      <c r="N7" s="116"/>
      <c r="O7" s="116"/>
      <c r="P7" s="116"/>
    </row>
    <row r="8" spans="1:17" ht="15.75" thickBot="1" x14ac:dyDescent="0.3">
      <c r="A8" s="17"/>
      <c r="B8" s="17"/>
      <c r="C8" s="17"/>
      <c r="D8" s="17"/>
      <c r="E8" s="17"/>
      <c r="F8" s="17"/>
      <c r="G8" s="17"/>
      <c r="I8" s="116"/>
      <c r="J8" s="116"/>
      <c r="K8" s="116"/>
      <c r="L8" s="116"/>
      <c r="M8" s="116"/>
      <c r="N8" s="116"/>
      <c r="O8" s="116"/>
      <c r="P8" s="116"/>
    </row>
    <row r="9" spans="1:17" ht="15.75" thickBot="1" x14ac:dyDescent="0.3">
      <c r="A9" s="143" t="s">
        <v>1</v>
      </c>
      <c r="B9" s="150"/>
      <c r="C9" s="150"/>
      <c r="D9" s="150"/>
      <c r="E9" s="150"/>
      <c r="F9" s="150"/>
      <c r="G9" s="149"/>
      <c r="I9" s="116"/>
      <c r="J9" s="116"/>
      <c r="K9" s="116"/>
      <c r="L9" s="116"/>
      <c r="M9" s="116"/>
      <c r="N9" s="116"/>
      <c r="O9" s="116"/>
      <c r="P9" s="116"/>
    </row>
    <row r="10" spans="1:17" ht="15.75" thickBot="1" x14ac:dyDescent="0.3">
      <c r="A10" s="83" t="s">
        <v>3</v>
      </c>
      <c r="B10" s="84" t="s">
        <v>25</v>
      </c>
      <c r="C10" s="84" t="s">
        <v>53</v>
      </c>
      <c r="D10" s="84" t="s">
        <v>26</v>
      </c>
      <c r="E10" s="83" t="s">
        <v>27</v>
      </c>
      <c r="F10" s="84" t="s">
        <v>28</v>
      </c>
      <c r="G10" s="84" t="s">
        <v>29</v>
      </c>
      <c r="H10" s="84" t="s">
        <v>30</v>
      </c>
      <c r="J10" s="116"/>
      <c r="K10" s="116"/>
      <c r="L10" s="116"/>
      <c r="M10" s="116"/>
      <c r="N10" s="116"/>
      <c r="O10" s="116"/>
      <c r="P10" s="116"/>
      <c r="Q10" s="116"/>
    </row>
    <row r="11" spans="1:17" ht="29.25" thickBot="1" x14ac:dyDescent="0.3">
      <c r="A11" s="85">
        <v>7</v>
      </c>
      <c r="B11" s="86" t="s">
        <v>35</v>
      </c>
      <c r="C11" s="86" t="s">
        <v>54</v>
      </c>
      <c r="D11" s="87">
        <f>Final!C17</f>
        <v>5</v>
      </c>
      <c r="E11" s="126" t="s">
        <v>43</v>
      </c>
      <c r="F11" s="88">
        <f>SUM(F12:F16)</f>
        <v>5</v>
      </c>
      <c r="G11" s="88">
        <f>SUM(G12:G16)</f>
        <v>2</v>
      </c>
      <c r="H11" s="88">
        <f>SUM(H12:H16)</f>
        <v>3</v>
      </c>
      <c r="J11" s="116"/>
      <c r="K11" s="116"/>
      <c r="L11" s="116"/>
      <c r="M11" s="116"/>
      <c r="N11" s="116"/>
      <c r="O11" s="116"/>
      <c r="P11" s="116"/>
      <c r="Q11" s="116"/>
    </row>
    <row r="12" spans="1:17" x14ac:dyDescent="0.25">
      <c r="A12" s="95"/>
      <c r="B12" s="95"/>
      <c r="C12" s="95"/>
      <c r="D12" s="127"/>
      <c r="E12" s="137" t="s">
        <v>149</v>
      </c>
      <c r="F12" s="111">
        <v>0</v>
      </c>
      <c r="G12" s="111">
        <v>0</v>
      </c>
      <c r="H12" s="111">
        <v>3</v>
      </c>
      <c r="J12" s="116"/>
      <c r="K12" s="116"/>
      <c r="L12" s="116"/>
      <c r="M12" s="116"/>
      <c r="N12" s="116"/>
      <c r="O12" s="116"/>
      <c r="P12" s="116"/>
      <c r="Q12" s="116"/>
    </row>
    <row r="13" spans="1:17" x14ac:dyDescent="0.25">
      <c r="A13" s="95"/>
      <c r="B13" s="95"/>
      <c r="C13" s="95"/>
      <c r="D13" s="127"/>
      <c r="E13" s="137" t="s">
        <v>150</v>
      </c>
      <c r="F13" s="111">
        <v>0</v>
      </c>
      <c r="G13" s="111">
        <v>2</v>
      </c>
      <c r="H13" s="111">
        <v>0</v>
      </c>
      <c r="J13" s="142" t="s">
        <v>37</v>
      </c>
      <c r="K13" s="142"/>
      <c r="L13" s="142"/>
      <c r="M13" s="142"/>
      <c r="N13" s="142"/>
      <c r="O13" s="142"/>
      <c r="P13" s="142"/>
      <c r="Q13" s="142"/>
    </row>
    <row r="14" spans="1:17" x14ac:dyDescent="0.25">
      <c r="A14" s="95"/>
      <c r="B14" s="95"/>
      <c r="C14" s="95"/>
      <c r="D14" s="127"/>
      <c r="E14" s="141" t="s">
        <v>154</v>
      </c>
      <c r="F14" s="111">
        <v>2</v>
      </c>
      <c r="G14" s="111">
        <v>0</v>
      </c>
      <c r="H14" s="111">
        <v>0</v>
      </c>
      <c r="J14" s="142"/>
      <c r="K14" s="142"/>
      <c r="L14" s="142"/>
      <c r="M14" s="142"/>
      <c r="N14" s="142"/>
      <c r="O14" s="142"/>
      <c r="P14" s="142"/>
      <c r="Q14" s="142"/>
    </row>
    <row r="15" spans="1:17" x14ac:dyDescent="0.25">
      <c r="A15" s="95"/>
      <c r="B15" s="95"/>
      <c r="C15" s="95"/>
      <c r="D15" s="127"/>
      <c r="E15" s="137" t="s">
        <v>155</v>
      </c>
      <c r="F15" s="111">
        <v>2</v>
      </c>
      <c r="G15" s="111">
        <v>0</v>
      </c>
      <c r="H15" s="111">
        <v>0</v>
      </c>
      <c r="J15" s="142"/>
      <c r="K15" s="142"/>
      <c r="L15" s="142"/>
      <c r="M15" s="142"/>
      <c r="N15" s="142"/>
      <c r="O15" s="142"/>
      <c r="P15" s="142"/>
      <c r="Q15" s="142"/>
    </row>
    <row r="16" spans="1:17" ht="15.75" thickBot="1" x14ac:dyDescent="0.3">
      <c r="A16" s="89"/>
      <c r="B16" s="89"/>
      <c r="C16" s="89"/>
      <c r="D16" s="90"/>
      <c r="E16" s="137" t="s">
        <v>156</v>
      </c>
      <c r="F16" s="91">
        <v>1</v>
      </c>
      <c r="G16" s="91">
        <v>0</v>
      </c>
      <c r="H16" s="91">
        <v>0</v>
      </c>
      <c r="J16" s="142"/>
      <c r="K16" s="142"/>
      <c r="L16" s="142"/>
      <c r="M16" s="142"/>
      <c r="N16" s="142"/>
      <c r="O16" s="142"/>
      <c r="P16" s="142"/>
      <c r="Q16" s="142"/>
    </row>
    <row r="17" spans="1:17" ht="15.75" thickBot="1" x14ac:dyDescent="0.3">
      <c r="A17" s="85"/>
      <c r="B17" s="86"/>
      <c r="C17" s="86"/>
      <c r="D17" s="87"/>
      <c r="E17" s="61" t="s">
        <v>193</v>
      </c>
      <c r="F17" s="88">
        <f>SUM(F18:F28)</f>
        <v>9.5</v>
      </c>
      <c r="G17" s="88">
        <f>SUM(G18:G28)</f>
        <v>7</v>
      </c>
      <c r="H17" s="88">
        <f>SUM(H18:H28)</f>
        <v>10.75</v>
      </c>
      <c r="J17" s="142"/>
      <c r="K17" s="142"/>
      <c r="L17" s="142"/>
      <c r="M17" s="142"/>
      <c r="N17" s="142"/>
      <c r="O17" s="142"/>
      <c r="P17" s="142"/>
      <c r="Q17" s="142"/>
    </row>
    <row r="18" spans="1:17" x14ac:dyDescent="0.25">
      <c r="A18" s="95"/>
      <c r="B18" s="95"/>
      <c r="C18" s="95"/>
      <c r="D18" s="127"/>
      <c r="E18" s="119" t="s">
        <v>202</v>
      </c>
      <c r="F18" s="111">
        <v>1</v>
      </c>
      <c r="G18" s="111">
        <v>0</v>
      </c>
      <c r="H18" s="111">
        <v>0.25</v>
      </c>
      <c r="J18" s="142"/>
      <c r="K18" s="142"/>
      <c r="L18" s="142"/>
      <c r="M18" s="142"/>
      <c r="N18" s="142"/>
      <c r="O18" s="142"/>
      <c r="P18" s="142"/>
      <c r="Q18" s="142"/>
    </row>
    <row r="19" spans="1:17" x14ac:dyDescent="0.25">
      <c r="A19" s="95"/>
      <c r="B19" s="95"/>
      <c r="C19" s="95"/>
      <c r="D19" s="127"/>
      <c r="E19" s="119" t="s">
        <v>203</v>
      </c>
      <c r="F19" s="111">
        <v>0.5</v>
      </c>
      <c r="G19" s="111">
        <v>0</v>
      </c>
      <c r="H19" s="111">
        <v>1.5</v>
      </c>
    </row>
    <row r="20" spans="1:17" x14ac:dyDescent="0.25">
      <c r="A20" s="95"/>
      <c r="B20" s="95"/>
      <c r="C20" s="95"/>
      <c r="D20" s="127"/>
      <c r="E20" s="119" t="s">
        <v>204</v>
      </c>
      <c r="F20" s="111">
        <v>1</v>
      </c>
      <c r="G20" s="111">
        <v>1</v>
      </c>
      <c r="H20" s="111">
        <v>3</v>
      </c>
    </row>
    <row r="21" spans="1:17" x14ac:dyDescent="0.25">
      <c r="A21" s="95"/>
      <c r="B21" s="95"/>
      <c r="C21" s="95"/>
      <c r="D21" s="127"/>
      <c r="E21" s="119" t="s">
        <v>205</v>
      </c>
      <c r="F21" s="111">
        <v>2</v>
      </c>
      <c r="G21" s="111">
        <v>3</v>
      </c>
      <c r="H21" s="111">
        <v>3</v>
      </c>
    </row>
    <row r="22" spans="1:17" x14ac:dyDescent="0.25">
      <c r="A22" s="95"/>
      <c r="B22" s="95"/>
      <c r="C22" s="95"/>
      <c r="D22" s="127"/>
      <c r="E22" s="119" t="s">
        <v>206</v>
      </c>
      <c r="F22" s="111">
        <v>1</v>
      </c>
      <c r="G22" s="111">
        <v>2</v>
      </c>
      <c r="H22" s="111">
        <v>1</v>
      </c>
    </row>
    <row r="23" spans="1:17" x14ac:dyDescent="0.25">
      <c r="A23" s="89"/>
      <c r="B23" s="89"/>
      <c r="C23" s="89"/>
      <c r="D23" s="90"/>
      <c r="E23" s="48" t="s">
        <v>156</v>
      </c>
      <c r="F23" s="91">
        <v>3</v>
      </c>
      <c r="G23" s="91">
        <v>1</v>
      </c>
      <c r="H23" s="91">
        <v>0.5</v>
      </c>
    </row>
    <row r="24" spans="1:17" x14ac:dyDescent="0.25">
      <c r="A24" s="89"/>
      <c r="B24" s="89"/>
      <c r="C24" s="89"/>
      <c r="D24" s="90"/>
      <c r="E24" s="48" t="s">
        <v>207</v>
      </c>
      <c r="F24" s="91">
        <v>0.5</v>
      </c>
      <c r="G24" s="91">
        <v>0</v>
      </c>
      <c r="H24" s="91">
        <v>0</v>
      </c>
    </row>
    <row r="25" spans="1:17" x14ac:dyDescent="0.25">
      <c r="A25" s="89"/>
      <c r="B25" s="89"/>
      <c r="C25" s="89"/>
      <c r="D25" s="90"/>
      <c r="E25" s="48" t="s">
        <v>201</v>
      </c>
      <c r="F25" s="91">
        <v>0.5</v>
      </c>
      <c r="G25" s="91">
        <v>0</v>
      </c>
      <c r="H25" s="91">
        <v>0</v>
      </c>
    </row>
    <row r="26" spans="1:17" x14ac:dyDescent="0.25">
      <c r="A26" s="89"/>
      <c r="B26" s="89"/>
      <c r="C26" s="89"/>
      <c r="D26" s="90"/>
      <c r="E26" s="48" t="s">
        <v>208</v>
      </c>
      <c r="F26" s="91">
        <v>0</v>
      </c>
      <c r="G26" s="91">
        <v>0</v>
      </c>
      <c r="H26" s="91">
        <v>0.5</v>
      </c>
    </row>
    <row r="27" spans="1:17" x14ac:dyDescent="0.25">
      <c r="A27" s="89"/>
      <c r="B27" s="89"/>
      <c r="C27" s="89"/>
      <c r="D27" s="90"/>
      <c r="E27" s="48" t="s">
        <v>209</v>
      </c>
      <c r="F27" s="91">
        <v>0</v>
      </c>
      <c r="G27" s="91">
        <v>0</v>
      </c>
      <c r="H27" s="91">
        <v>0.5</v>
      </c>
    </row>
    <row r="28" spans="1:17" ht="15.75" thickBot="1" x14ac:dyDescent="0.3">
      <c r="A28" s="89"/>
      <c r="B28" s="89"/>
      <c r="C28" s="89"/>
      <c r="D28" s="90"/>
      <c r="E28" s="48" t="s">
        <v>210</v>
      </c>
      <c r="F28" s="91">
        <v>0</v>
      </c>
      <c r="G28" s="91">
        <v>0</v>
      </c>
      <c r="H28" s="91">
        <v>0.5</v>
      </c>
    </row>
    <row r="29" spans="1:17" ht="15.75" thickBot="1" x14ac:dyDescent="0.3">
      <c r="A29" s="85"/>
      <c r="B29" s="86"/>
      <c r="C29" s="86"/>
      <c r="D29" s="87"/>
      <c r="E29" s="61" t="s">
        <v>194</v>
      </c>
      <c r="F29" s="88">
        <f>SUM(F30:F37)</f>
        <v>6.75</v>
      </c>
      <c r="G29" s="88">
        <f t="shared" ref="G29:H29" si="0">SUM(G30:G37)</f>
        <v>3.25</v>
      </c>
      <c r="H29" s="88">
        <f t="shared" si="0"/>
        <v>7.5</v>
      </c>
    </row>
    <row r="30" spans="1:17" x14ac:dyDescent="0.25">
      <c r="A30" s="95"/>
      <c r="B30" s="95"/>
      <c r="C30" s="95"/>
      <c r="D30" s="127"/>
      <c r="E30" s="119" t="s">
        <v>195</v>
      </c>
      <c r="F30" s="111">
        <v>1</v>
      </c>
      <c r="G30" s="111">
        <v>0.25</v>
      </c>
      <c r="H30" s="111">
        <v>0.25</v>
      </c>
    </row>
    <row r="31" spans="1:17" x14ac:dyDescent="0.25">
      <c r="A31" s="95"/>
      <c r="B31" s="95"/>
      <c r="C31" s="95"/>
      <c r="D31" s="127"/>
      <c r="E31" s="119" t="s">
        <v>196</v>
      </c>
      <c r="F31" s="111">
        <v>1.5</v>
      </c>
      <c r="G31" s="111">
        <v>0</v>
      </c>
      <c r="H31" s="111">
        <v>0.25</v>
      </c>
    </row>
    <row r="32" spans="1:17" x14ac:dyDescent="0.25">
      <c r="A32" s="95"/>
      <c r="B32" s="95"/>
      <c r="C32" s="95"/>
      <c r="D32" s="127"/>
      <c r="E32" s="119" t="s">
        <v>197</v>
      </c>
      <c r="F32" s="111">
        <v>0.5</v>
      </c>
      <c r="G32" s="111">
        <v>0</v>
      </c>
      <c r="H32" s="111">
        <v>1.5</v>
      </c>
    </row>
    <row r="33" spans="1:8" x14ac:dyDescent="0.25">
      <c r="A33" s="95"/>
      <c r="B33" s="95"/>
      <c r="C33" s="95"/>
      <c r="D33" s="127"/>
      <c r="E33" s="119" t="s">
        <v>198</v>
      </c>
      <c r="F33" s="111">
        <v>2</v>
      </c>
      <c r="G33" s="111">
        <v>1</v>
      </c>
      <c r="H33" s="111">
        <v>2</v>
      </c>
    </row>
    <row r="34" spans="1:8" x14ac:dyDescent="0.25">
      <c r="A34" s="95"/>
      <c r="B34" s="95"/>
      <c r="C34" s="95"/>
      <c r="D34" s="127"/>
      <c r="E34" s="119" t="s">
        <v>199</v>
      </c>
      <c r="F34" s="111">
        <v>1</v>
      </c>
      <c r="G34" s="111">
        <v>1</v>
      </c>
      <c r="H34" s="111">
        <v>1</v>
      </c>
    </row>
    <row r="35" spans="1:8" x14ac:dyDescent="0.25">
      <c r="A35" s="95"/>
      <c r="B35" s="95"/>
      <c r="C35" s="95"/>
      <c r="D35" s="127"/>
      <c r="E35" s="119" t="s">
        <v>200</v>
      </c>
      <c r="F35" s="111">
        <v>0.5</v>
      </c>
      <c r="G35" s="111">
        <v>1</v>
      </c>
      <c r="H35" s="111">
        <v>1.5</v>
      </c>
    </row>
    <row r="36" spans="1:8" x14ac:dyDescent="0.25">
      <c r="A36" s="89"/>
      <c r="B36" s="89"/>
      <c r="C36" s="89"/>
      <c r="D36" s="90"/>
      <c r="E36" s="48" t="s">
        <v>201</v>
      </c>
      <c r="F36" s="91">
        <v>0.25</v>
      </c>
      <c r="G36" s="91">
        <v>0</v>
      </c>
      <c r="H36" s="91">
        <v>1</v>
      </c>
    </row>
    <row r="37" spans="1:8" x14ac:dyDescent="0.25">
      <c r="A37" s="89"/>
      <c r="B37" s="89"/>
      <c r="C37" s="89"/>
      <c r="D37" s="90"/>
      <c r="E37" s="58"/>
      <c r="F37" s="91"/>
      <c r="G37" s="91"/>
      <c r="H37" s="91"/>
    </row>
    <row r="38" spans="1:8" x14ac:dyDescent="0.25">
      <c r="A38" s="65" t="s">
        <v>24</v>
      </c>
      <c r="B38" s="65"/>
      <c r="C38" s="65"/>
      <c r="D38" s="96">
        <f>SUBTOTAL(109,Table145678[Estimate])</f>
        <v>5</v>
      </c>
      <c r="E38" s="65"/>
      <c r="F38" s="96">
        <f>SUM(F11,F17,F29)</f>
        <v>21.25</v>
      </c>
      <c r="G38" s="96">
        <f>SUM(G11,G17,G29)</f>
        <v>12.25</v>
      </c>
      <c r="H38" s="96">
        <f>SUM(H11,H17,H29)</f>
        <v>21.25</v>
      </c>
    </row>
    <row r="39" spans="1:8" x14ac:dyDescent="0.25">
      <c r="F39" s="144">
        <f>SUM(Table145678[[#Totals],[Day 1]:[Day 3]])</f>
        <v>54.75</v>
      </c>
      <c r="G39" s="144"/>
      <c r="H39" s="144"/>
    </row>
  </sheetData>
  <mergeCells count="6">
    <mergeCell ref="F39:H39"/>
    <mergeCell ref="J13:Q18"/>
    <mergeCell ref="A1:B7"/>
    <mergeCell ref="F1:G1"/>
    <mergeCell ref="F4:G4"/>
    <mergeCell ref="A9:G9"/>
  </mergeCells>
  <conditionalFormatting sqref="I3">
    <cfRule type="dataBar" priority="2">
      <dataBar>
        <cfvo type="num" val="0"/>
        <cfvo type="num" val="110"/>
        <color rgb="FF638EC6"/>
      </dataBar>
      <extLst>
        <ext xmlns:x14="http://schemas.microsoft.com/office/spreadsheetml/2009/9/main" uri="{B025F937-C7B1-47D3-B67F-A62EFF666E3E}">
          <x14:id>{CA0FDA6C-B515-44A9-A45F-B432B38397A0}</x14:id>
        </ext>
      </extLst>
    </cfRule>
    <cfRule type="colorScale" priority="3">
      <colorScale>
        <cfvo type="num" val="5"/>
        <cfvo type="num" val="60"/>
        <color rgb="FFFF0000"/>
        <color theme="9"/>
      </colorScale>
    </cfRule>
  </conditionalFormatting>
  <conditionalFormatting sqref="F4">
    <cfRule type="dataBar" priority="1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{699E7500-1B06-4CC6-9749-2D04B9CA5D9F}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0FDA6C-B515-44A9-A45F-B432B38397A0}">
            <x14:dataBar minLength="0" maxLength="100">
              <x14:cfvo type="num">
                <xm:f>0</xm:f>
              </x14:cfvo>
              <x14:cfvo type="num">
                <xm:f>110</xm:f>
              </x14:cfvo>
              <x14:negativeFillColor rgb="FFFF0000"/>
              <x14:axisColor rgb="FF000000"/>
            </x14:dataBar>
          </x14:cfRule>
          <xm:sqref>I3</xm:sqref>
        </x14:conditionalFormatting>
        <x14:conditionalFormatting xmlns:xm="http://schemas.microsoft.com/office/excel/2006/main">
          <x14:cfRule type="dataBar" id="{699E7500-1B06-4CC6-9749-2D04B9CA5D9F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F4</xm:sqref>
        </x14:conditionalFormatting>
        <x14:conditionalFormatting xmlns:xm="http://schemas.microsoft.com/office/excel/2006/main">
          <x14:cfRule type="iconSet" priority="4" id="{A91944B1-6805-42E7-913E-FEAB2FB08A9C}">
            <x14:iconSet iconSet="5Boxes" showValue="0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B36:C37 B23:C28 B16:C16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D55A-26B6-439C-A286-2B6CB707FCEF}">
  <sheetPr codeName="Sheet5"/>
  <dimension ref="A5:U58"/>
  <sheetViews>
    <sheetView tabSelected="1" zoomScale="70" zoomScaleNormal="70" workbookViewId="0">
      <selection activeCell="P15" sqref="P15"/>
    </sheetView>
  </sheetViews>
  <sheetFormatPr defaultRowHeight="15" x14ac:dyDescent="0.25"/>
  <cols>
    <col min="10" max="10" width="19.28515625" customWidth="1"/>
    <col min="11" max="11" width="20.5703125" customWidth="1"/>
    <col min="12" max="12" width="29.42578125" customWidth="1"/>
    <col min="13" max="13" width="23.140625" customWidth="1"/>
    <col min="14" max="14" width="17.7109375" customWidth="1"/>
    <col min="15" max="15" width="63.42578125" style="34" customWidth="1"/>
  </cols>
  <sheetData>
    <row r="5" spans="1:6" ht="15.75" thickBot="1" x14ac:dyDescent="0.3"/>
    <row r="6" spans="1:6" ht="15.75" thickBot="1" x14ac:dyDescent="0.3">
      <c r="A6" s="164" t="s">
        <v>73</v>
      </c>
      <c r="B6" s="165"/>
      <c r="C6" s="165"/>
      <c r="D6" s="165"/>
      <c r="E6" s="165"/>
      <c r="F6" s="166"/>
    </row>
    <row r="7" spans="1:6" x14ac:dyDescent="0.25">
      <c r="A7" s="151" t="s">
        <v>74</v>
      </c>
      <c r="B7" s="152"/>
      <c r="C7" s="37">
        <f>Table1[[#Totals],[Day 1]]+D7</f>
        <v>183.45</v>
      </c>
      <c r="D7" s="37">
        <f>Table1[[#Totals],[Day 2]]+E7</f>
        <v>103</v>
      </c>
      <c r="E7" s="37">
        <f>Table1[[#Totals],[Day 3]]</f>
        <v>46.25</v>
      </c>
      <c r="F7" s="18">
        <v>0</v>
      </c>
    </row>
    <row r="8" spans="1:6" ht="14.25" customHeight="1" thickBot="1" x14ac:dyDescent="0.3">
      <c r="A8" s="167" t="s">
        <v>75</v>
      </c>
      <c r="B8" s="168"/>
      <c r="C8" s="35">
        <f>Table1[[#Totals],[Estimate]]</f>
        <v>185</v>
      </c>
      <c r="D8" s="17">
        <f>C8/3*2</f>
        <v>123.33333333333333</v>
      </c>
      <c r="E8" s="17">
        <f>C8/3</f>
        <v>61.666666666666664</v>
      </c>
      <c r="F8" s="36">
        <v>0</v>
      </c>
    </row>
    <row r="9" spans="1:6" ht="14.25" customHeight="1" thickBot="1" x14ac:dyDescent="0.3">
      <c r="A9" s="167" t="s">
        <v>75</v>
      </c>
      <c r="B9" s="168"/>
      <c r="C9" s="35">
        <f>Table1[[#Totals],[Estimate]]</f>
        <v>185</v>
      </c>
      <c r="D9" s="17">
        <f>C9/3*2</f>
        <v>123.33333333333333</v>
      </c>
      <c r="E9" s="17">
        <f>C9/3</f>
        <v>61.666666666666664</v>
      </c>
      <c r="F9" s="36">
        <v>1</v>
      </c>
    </row>
    <row r="10" spans="1:6" ht="15.75" thickBot="1" x14ac:dyDescent="0.3">
      <c r="A10" s="161" t="s">
        <v>10</v>
      </c>
      <c r="B10" s="162"/>
      <c r="C10" s="162"/>
      <c r="D10" s="162"/>
      <c r="E10" s="162"/>
      <c r="F10" s="163"/>
    </row>
    <row r="11" spans="1:6" x14ac:dyDescent="0.25">
      <c r="A11" s="151" t="s">
        <v>74</v>
      </c>
      <c r="B11" s="152"/>
      <c r="C11" s="37">
        <f>C12</f>
        <v>55</v>
      </c>
      <c r="D11" s="37">
        <f>Table14[[#Totals],[Day 1]]</f>
        <v>30</v>
      </c>
      <c r="E11" s="37">
        <f>Table14[[#Totals],[Day 2]]</f>
        <v>20.5</v>
      </c>
      <c r="F11" s="112">
        <f>Table14[[#Totals],[Day 3]]</f>
        <v>19</v>
      </c>
    </row>
    <row r="12" spans="1:6" ht="15.75" thickBot="1" x14ac:dyDescent="0.3">
      <c r="A12" s="153" t="s">
        <v>24</v>
      </c>
      <c r="B12" s="154"/>
      <c r="C12" s="35">
        <f>Table14[[#Totals],[Estimate]]</f>
        <v>55</v>
      </c>
      <c r="D12" s="35">
        <f>C12 - D11</f>
        <v>25</v>
      </c>
      <c r="E12" s="35">
        <f>D12 - E11</f>
        <v>4.5</v>
      </c>
      <c r="F12" s="35">
        <f>E12 - F11</f>
        <v>-14.5</v>
      </c>
    </row>
    <row r="13" spans="1:6" ht="15.75" thickBot="1" x14ac:dyDescent="0.3">
      <c r="A13" s="153" t="s">
        <v>142</v>
      </c>
      <c r="B13" s="154"/>
      <c r="C13" s="35">
        <f>Table14[[#Totals],[Estimate]]</f>
        <v>55</v>
      </c>
      <c r="D13" s="35">
        <f>C13 - $C13/3</f>
        <v>36.666666666666671</v>
      </c>
      <c r="E13" s="35">
        <f>D13 - $C13/3</f>
        <v>18.333333333333339</v>
      </c>
      <c r="F13" s="35">
        <f>E13 - $C13/3</f>
        <v>0</v>
      </c>
    </row>
    <row r="14" spans="1:6" ht="15.75" thickBot="1" x14ac:dyDescent="0.3">
      <c r="A14" s="161" t="s">
        <v>14</v>
      </c>
      <c r="B14" s="162"/>
      <c r="C14" s="162"/>
      <c r="D14" s="162"/>
      <c r="E14" s="162"/>
      <c r="F14" s="163"/>
    </row>
    <row r="15" spans="1:6" x14ac:dyDescent="0.25">
      <c r="A15" s="151" t="s">
        <v>74</v>
      </c>
      <c r="B15" s="152"/>
      <c r="C15" s="37">
        <f>C16</f>
        <v>60</v>
      </c>
      <c r="D15" s="37">
        <f>Table145[[#Totals],[Day 1]]</f>
        <v>14.45</v>
      </c>
      <c r="E15" s="37">
        <f>Table145[[#Totals],[Day 2]]</f>
        <v>8.25</v>
      </c>
      <c r="F15" s="112">
        <f>Table145[[#Totals],[Day 3]]</f>
        <v>6.25</v>
      </c>
    </row>
    <row r="16" spans="1:6" ht="15.75" thickBot="1" x14ac:dyDescent="0.3">
      <c r="A16" s="153" t="s">
        <v>24</v>
      </c>
      <c r="B16" s="154"/>
      <c r="C16" s="35">
        <f>Table145[[#Totals],[Estimate]]</f>
        <v>60</v>
      </c>
      <c r="D16" s="35">
        <f>C16 - D15</f>
        <v>45.55</v>
      </c>
      <c r="E16" s="35">
        <f t="shared" ref="E16:F16" si="0">D16 - E15</f>
        <v>37.299999999999997</v>
      </c>
      <c r="F16" s="35">
        <f t="shared" si="0"/>
        <v>31.049999999999997</v>
      </c>
    </row>
    <row r="17" spans="1:21" ht="15.75" thickBot="1" x14ac:dyDescent="0.3">
      <c r="A17" s="153" t="s">
        <v>142</v>
      </c>
      <c r="B17" s="154"/>
      <c r="C17" s="35">
        <f>Table145[[#Totals],[Estimate]]</f>
        <v>60</v>
      </c>
      <c r="D17" s="35">
        <f>C17 - $C17/3</f>
        <v>40</v>
      </c>
      <c r="E17" s="35">
        <f>D17 - $C17/3</f>
        <v>20</v>
      </c>
      <c r="F17" s="35">
        <f>E17 - $C17/3</f>
        <v>0</v>
      </c>
    </row>
    <row r="18" spans="1:21" ht="19.5" customHeight="1" thickBot="1" x14ac:dyDescent="0.3">
      <c r="A18" s="161" t="s">
        <v>16</v>
      </c>
      <c r="B18" s="162"/>
      <c r="C18" s="162"/>
      <c r="D18" s="162"/>
      <c r="E18" s="162"/>
      <c r="F18" s="163"/>
      <c r="L18" s="77"/>
      <c r="P18" s="29"/>
      <c r="Q18" s="29"/>
      <c r="R18" s="29"/>
      <c r="S18" s="29"/>
      <c r="T18" s="29"/>
      <c r="U18" s="29"/>
    </row>
    <row r="19" spans="1:21" x14ac:dyDescent="0.25">
      <c r="A19" s="151" t="s">
        <v>74</v>
      </c>
      <c r="B19" s="152"/>
      <c r="C19" s="37">
        <f>C20</f>
        <v>20</v>
      </c>
      <c r="D19" s="37">
        <f>Table1456[[#Totals],[Day 1]]</f>
        <v>9</v>
      </c>
      <c r="E19" s="37">
        <f>Table1456[[#Totals],[Day 2]]</f>
        <v>9</v>
      </c>
      <c r="F19" s="112">
        <f>Table1456[[#Totals],[Day 2]]</f>
        <v>9</v>
      </c>
    </row>
    <row r="20" spans="1:21" ht="15.75" thickBot="1" x14ac:dyDescent="0.3">
      <c r="A20" s="153" t="s">
        <v>24</v>
      </c>
      <c r="B20" s="154"/>
      <c r="C20" s="35">
        <f>Table1456[[#Totals],[Estimate]]</f>
        <v>20</v>
      </c>
      <c r="D20" s="17">
        <f>C20/3+E20</f>
        <v>13.333333333333334</v>
      </c>
      <c r="E20" s="17">
        <f>C20/3</f>
        <v>6.666666666666667</v>
      </c>
      <c r="F20" s="36">
        <v>0</v>
      </c>
    </row>
    <row r="21" spans="1:21" ht="15.75" thickBot="1" x14ac:dyDescent="0.3">
      <c r="A21" s="158" t="s">
        <v>19</v>
      </c>
      <c r="B21" s="159"/>
      <c r="C21" s="159"/>
      <c r="D21" s="159"/>
      <c r="E21" s="159"/>
      <c r="F21" s="160"/>
    </row>
    <row r="22" spans="1:21" x14ac:dyDescent="0.25">
      <c r="A22" s="151" t="s">
        <v>74</v>
      </c>
      <c r="B22" s="152"/>
      <c r="C22" s="37">
        <f>C23</f>
        <v>45</v>
      </c>
      <c r="D22" s="37">
        <f>Table14567[[#Totals],[Day 1]]</f>
        <v>22</v>
      </c>
      <c r="E22" s="37">
        <f>Table14567[[#Totals],[Day 2]]</f>
        <v>12</v>
      </c>
      <c r="F22" s="112">
        <f>Table14567[[#Totals],[Day 3]]</f>
        <v>6</v>
      </c>
    </row>
    <row r="23" spans="1:21" ht="15.75" thickBot="1" x14ac:dyDescent="0.3">
      <c r="A23" s="153" t="s">
        <v>24</v>
      </c>
      <c r="B23" s="154"/>
      <c r="C23" s="35">
        <f>Table14567[[#Totals],[Estimate]]</f>
        <v>45</v>
      </c>
      <c r="D23" s="17">
        <f>C23/3+E23</f>
        <v>30</v>
      </c>
      <c r="E23" s="17">
        <f>C23/3</f>
        <v>15</v>
      </c>
      <c r="F23" s="36">
        <v>0</v>
      </c>
    </row>
    <row r="24" spans="1:21" ht="15.75" thickBot="1" x14ac:dyDescent="0.3">
      <c r="A24" s="158" t="s">
        <v>20</v>
      </c>
      <c r="B24" s="159"/>
      <c r="C24" s="159"/>
      <c r="D24" s="159"/>
      <c r="E24" s="159"/>
      <c r="F24" s="160"/>
    </row>
    <row r="25" spans="1:21" x14ac:dyDescent="0.25">
      <c r="A25" s="151" t="s">
        <v>74</v>
      </c>
      <c r="B25" s="152"/>
      <c r="C25" s="37">
        <f>Table14[[#Totals],[Day 1]]</f>
        <v>30</v>
      </c>
      <c r="D25" s="37">
        <f>SUM('Sprint 1'!M26:O26)</f>
        <v>0</v>
      </c>
      <c r="E25" s="37">
        <f>Table14[[#Totals],[Day 3]]</f>
        <v>19</v>
      </c>
      <c r="F25" s="18">
        <f>0</f>
        <v>0</v>
      </c>
    </row>
    <row r="26" spans="1:21" ht="15.75" thickBot="1" x14ac:dyDescent="0.3">
      <c r="A26" s="153" t="s">
        <v>24</v>
      </c>
      <c r="B26" s="154"/>
      <c r="C26" s="35">
        <f>Table14[[#Totals],[Estimate]]</f>
        <v>55</v>
      </c>
      <c r="D26" s="17">
        <f>C26/3+E26</f>
        <v>36.666666666666664</v>
      </c>
      <c r="E26" s="17">
        <f>C26/3</f>
        <v>18.333333333333332</v>
      </c>
      <c r="F26" s="36">
        <v>0</v>
      </c>
    </row>
    <row r="27" spans="1:21" ht="15.75" thickBot="1" x14ac:dyDescent="0.3">
      <c r="A27" s="155" t="s">
        <v>22</v>
      </c>
      <c r="B27" s="156"/>
      <c r="C27" s="156"/>
      <c r="D27" s="156"/>
      <c r="E27" s="156"/>
      <c r="F27" s="157"/>
    </row>
    <row r="28" spans="1:21" x14ac:dyDescent="0.25">
      <c r="A28" s="151" t="s">
        <v>74</v>
      </c>
      <c r="B28" s="152"/>
      <c r="C28" s="37">
        <f>Table14[[#Totals],[Day 1]]</f>
        <v>30</v>
      </c>
      <c r="D28" s="37">
        <f>SUM('Sprint 1'!M29:O29)</f>
        <v>0</v>
      </c>
      <c r="E28" s="37">
        <f>Table14[[#Totals],[Day 3]]</f>
        <v>19</v>
      </c>
      <c r="F28" s="18">
        <f>0</f>
        <v>0</v>
      </c>
    </row>
    <row r="29" spans="1:21" ht="15.75" thickBot="1" x14ac:dyDescent="0.3">
      <c r="A29" s="153" t="s">
        <v>24</v>
      </c>
      <c r="B29" s="154"/>
      <c r="C29" s="35">
        <f>Table14[[#Totals],[Estimate]]</f>
        <v>55</v>
      </c>
      <c r="D29" s="17">
        <f>C29/3+E29</f>
        <v>36.666666666666664</v>
      </c>
      <c r="E29" s="17">
        <f>C29/3</f>
        <v>18.333333333333332</v>
      </c>
      <c r="F29" s="36">
        <v>0</v>
      </c>
    </row>
    <row r="30" spans="1:21" ht="15.75" thickBot="1" x14ac:dyDescent="0.3">
      <c r="A30" s="155" t="s">
        <v>23</v>
      </c>
      <c r="B30" s="156"/>
      <c r="C30" s="156"/>
      <c r="D30" s="156"/>
      <c r="E30" s="156"/>
      <c r="F30" s="157"/>
    </row>
    <row r="31" spans="1:21" x14ac:dyDescent="0.25">
      <c r="A31" s="151" t="s">
        <v>74</v>
      </c>
      <c r="B31" s="152"/>
      <c r="C31" s="37">
        <f>Table14[[#Totals],[Day 1]]</f>
        <v>30</v>
      </c>
      <c r="D31" s="37">
        <f>SUM('Sprint 1'!M32:O32)</f>
        <v>0</v>
      </c>
      <c r="E31" s="37">
        <f>Table14[[#Totals],[Day 3]]</f>
        <v>19</v>
      </c>
      <c r="F31" s="18">
        <f>0</f>
        <v>0</v>
      </c>
    </row>
    <row r="32" spans="1:21" ht="15.75" thickBot="1" x14ac:dyDescent="0.3">
      <c r="A32" s="153" t="s">
        <v>24</v>
      </c>
      <c r="B32" s="154"/>
      <c r="C32" s="35">
        <f>Table14[[#Totals],[Estimate]]</f>
        <v>55</v>
      </c>
      <c r="D32" s="17">
        <f>C32/3+E32</f>
        <v>36.666666666666664</v>
      </c>
      <c r="E32" s="17">
        <f>C32/3</f>
        <v>18.333333333333332</v>
      </c>
      <c r="F32" s="36">
        <v>0</v>
      </c>
    </row>
    <row r="36" spans="10:15" ht="15.75" thickBot="1" x14ac:dyDescent="0.3"/>
    <row r="37" spans="10:15" ht="32.25" thickBot="1" x14ac:dyDescent="0.3">
      <c r="J37" s="20" t="s">
        <v>76</v>
      </c>
      <c r="K37" s="21" t="s">
        <v>77</v>
      </c>
      <c r="L37" s="21" t="s">
        <v>78</v>
      </c>
      <c r="M37" s="22" t="s">
        <v>79</v>
      </c>
      <c r="N37" s="21" t="s">
        <v>80</v>
      </c>
      <c r="O37" s="33" t="s">
        <v>81</v>
      </c>
    </row>
    <row r="38" spans="10:15" ht="102.75" thickBot="1" x14ac:dyDescent="0.3">
      <c r="J38" s="27" t="s">
        <v>82</v>
      </c>
      <c r="K38" s="25" t="s">
        <v>83</v>
      </c>
      <c r="L38" s="31" t="s">
        <v>84</v>
      </c>
      <c r="M38" s="26" t="s">
        <v>85</v>
      </c>
      <c r="O38" s="28" t="s">
        <v>86</v>
      </c>
    </row>
    <row r="39" spans="10:15" ht="78" thickBot="1" x14ac:dyDescent="0.3">
      <c r="J39" s="27" t="s">
        <v>87</v>
      </c>
      <c r="K39" s="25" t="s">
        <v>88</v>
      </c>
      <c r="L39" s="32" t="s">
        <v>89</v>
      </c>
      <c r="M39" s="26" t="s">
        <v>85</v>
      </c>
    </row>
    <row r="40" spans="10:15" ht="383.25" thickBot="1" x14ac:dyDescent="0.3">
      <c r="J40" s="19" t="s">
        <v>90</v>
      </c>
      <c r="K40" s="25" t="s">
        <v>91</v>
      </c>
      <c r="L40" s="30" t="s">
        <v>92</v>
      </c>
      <c r="M40" s="23" t="s">
        <v>93</v>
      </c>
      <c r="O40" s="29" t="s">
        <v>94</v>
      </c>
    </row>
    <row r="41" spans="10:15" ht="15.75" thickBot="1" x14ac:dyDescent="0.3">
      <c r="J41" s="19" t="s">
        <v>95</v>
      </c>
      <c r="K41" s="25" t="s">
        <v>96</v>
      </c>
      <c r="L41" s="23" t="s">
        <v>97</v>
      </c>
    </row>
    <row r="42" spans="10:15" ht="15.75" thickBot="1" x14ac:dyDescent="0.3">
      <c r="J42" s="19" t="s">
        <v>98</v>
      </c>
      <c r="K42" s="25" t="s">
        <v>99</v>
      </c>
      <c r="L42" s="23" t="s">
        <v>97</v>
      </c>
    </row>
    <row r="43" spans="10:15" ht="60.75" thickBot="1" x14ac:dyDescent="0.3">
      <c r="J43" s="19" t="s">
        <v>100</v>
      </c>
      <c r="K43" s="25" t="s">
        <v>101</v>
      </c>
      <c r="L43" s="26" t="s">
        <v>102</v>
      </c>
    </row>
    <row r="44" spans="10:15" ht="15.75" thickBot="1" x14ac:dyDescent="0.3">
      <c r="J44" s="19" t="s">
        <v>103</v>
      </c>
      <c r="K44" s="25" t="s">
        <v>104</v>
      </c>
    </row>
    <row r="45" spans="10:15" ht="15.75" thickBot="1" x14ac:dyDescent="0.3">
      <c r="J45" s="19" t="s">
        <v>105</v>
      </c>
      <c r="K45" s="25" t="s">
        <v>106</v>
      </c>
    </row>
    <row r="46" spans="10:15" ht="30.75" thickBot="1" x14ac:dyDescent="0.3">
      <c r="J46" s="19" t="s">
        <v>107</v>
      </c>
      <c r="K46" s="25" t="s">
        <v>108</v>
      </c>
    </row>
    <row r="47" spans="10:15" ht="15.75" thickBot="1" x14ac:dyDescent="0.3">
      <c r="J47" s="19" t="s">
        <v>109</v>
      </c>
      <c r="K47" s="24" t="s">
        <v>110</v>
      </c>
    </row>
    <row r="48" spans="10:15" ht="15.75" thickBot="1" x14ac:dyDescent="0.3">
      <c r="J48" s="19" t="s">
        <v>111</v>
      </c>
      <c r="K48" s="24" t="s">
        <v>112</v>
      </c>
    </row>
    <row r="49" spans="10:13" ht="30.75" thickBot="1" x14ac:dyDescent="0.3">
      <c r="J49" s="19" t="s">
        <v>113</v>
      </c>
      <c r="K49" s="24" t="s">
        <v>114</v>
      </c>
    </row>
    <row r="50" spans="10:13" ht="15.75" thickBot="1" x14ac:dyDescent="0.3">
      <c r="J50" s="19" t="s">
        <v>115</v>
      </c>
      <c r="K50" s="24" t="s">
        <v>116</v>
      </c>
    </row>
    <row r="51" spans="10:13" ht="15.75" thickBot="1" x14ac:dyDescent="0.3">
      <c r="J51" s="19" t="s">
        <v>117</v>
      </c>
      <c r="K51" s="24" t="s">
        <v>118</v>
      </c>
    </row>
    <row r="52" spans="10:13" ht="30.75" thickBot="1" x14ac:dyDescent="0.3">
      <c r="J52" s="19" t="s">
        <v>119</v>
      </c>
      <c r="K52" s="24" t="s">
        <v>120</v>
      </c>
    </row>
    <row r="53" spans="10:13" ht="15.75" thickBot="1" x14ac:dyDescent="0.3">
      <c r="J53" s="19" t="s">
        <v>121</v>
      </c>
      <c r="K53" s="24" t="s">
        <v>122</v>
      </c>
    </row>
    <row r="54" spans="10:13" ht="15.75" thickBot="1" x14ac:dyDescent="0.3">
      <c r="J54" s="19" t="s">
        <v>123</v>
      </c>
      <c r="K54" s="24" t="s">
        <v>124</v>
      </c>
    </row>
    <row r="55" spans="10:13" ht="30.75" thickBot="1" x14ac:dyDescent="0.3">
      <c r="J55" s="19" t="s">
        <v>125</v>
      </c>
      <c r="K55" s="24" t="s">
        <v>126</v>
      </c>
    </row>
    <row r="56" spans="10:13" ht="15.75" thickBot="1" x14ac:dyDescent="0.3">
      <c r="J56" s="19" t="s">
        <v>127</v>
      </c>
      <c r="K56" s="24" t="s">
        <v>128</v>
      </c>
    </row>
    <row r="57" spans="10:13" ht="15.75" thickBot="1" x14ac:dyDescent="0.3">
      <c r="J57" s="19" t="s">
        <v>129</v>
      </c>
      <c r="K57" s="24" t="s">
        <v>130</v>
      </c>
    </row>
    <row r="58" spans="10:13" ht="45.75" thickBot="1" x14ac:dyDescent="0.3">
      <c r="J58" s="19" t="s">
        <v>131</v>
      </c>
      <c r="K58" s="24" t="s">
        <v>132</v>
      </c>
      <c r="M58" s="24" t="s">
        <v>133</v>
      </c>
    </row>
  </sheetData>
  <mergeCells count="27">
    <mergeCell ref="A17:B17"/>
    <mergeCell ref="A14:F14"/>
    <mergeCell ref="A15:B15"/>
    <mergeCell ref="A16:B16"/>
    <mergeCell ref="A6:F6"/>
    <mergeCell ref="A8:B8"/>
    <mergeCell ref="A7:B7"/>
    <mergeCell ref="A10:F10"/>
    <mergeCell ref="A11:B11"/>
    <mergeCell ref="A12:B12"/>
    <mergeCell ref="A13:B13"/>
    <mergeCell ref="A9:B9"/>
    <mergeCell ref="A18:F18"/>
    <mergeCell ref="A19:B19"/>
    <mergeCell ref="A20:B20"/>
    <mergeCell ref="A21:F21"/>
    <mergeCell ref="A22:B22"/>
    <mergeCell ref="A23:B23"/>
    <mergeCell ref="A24:F24"/>
    <mergeCell ref="A25:B25"/>
    <mergeCell ref="A26:B26"/>
    <mergeCell ref="A27:F27"/>
    <mergeCell ref="A28:B28"/>
    <mergeCell ref="A29:B29"/>
    <mergeCell ref="A30:F30"/>
    <mergeCell ref="A31:B31"/>
    <mergeCell ref="A32:B32"/>
  </mergeCells>
  <hyperlinks>
    <hyperlink ref="O40" r:id="rId1" display="https://codehollow.com/scrum-meeting-templates/sprint-review-template/" xr:uid="{7A79757D-1CA2-498C-9052-02E3CA84DE14}"/>
    <hyperlink ref="O38" r:id="rId2" xr:uid="{6E9128A4-0C54-4546-ABF1-A223A56A6496}"/>
  </hyperlinks>
  <pageMargins left="0.7" right="0.7" top="0.75" bottom="0.75" header="0.3" footer="0.3"/>
  <pageSetup paperSize="9" orientation="portrait" horizontalDpi="1200" verticalDpi="1200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FCED5-1551-43D9-BE9B-52DF13052244}">
  <dimension ref="A1:AE58"/>
  <sheetViews>
    <sheetView zoomScale="60" zoomScaleNormal="60" workbookViewId="0">
      <selection activeCell="O1" sqref="O1"/>
    </sheetView>
  </sheetViews>
  <sheetFormatPr defaultRowHeight="15" x14ac:dyDescent="0.25"/>
  <cols>
    <col min="1" max="1" width="18.140625" customWidth="1"/>
    <col min="10" max="10" width="19.28515625" customWidth="1"/>
    <col min="11" max="11" width="20.5703125" customWidth="1"/>
    <col min="12" max="12" width="29.42578125" customWidth="1"/>
    <col min="13" max="13" width="23.140625" customWidth="1"/>
    <col min="14" max="14" width="17.7109375" customWidth="1"/>
    <col min="15" max="15" width="63.42578125" style="34" customWidth="1"/>
  </cols>
  <sheetData>
    <row r="1" spans="1:31" x14ac:dyDescent="0.25">
      <c r="O1" s="138">
        <v>43630</v>
      </c>
    </row>
    <row r="2" spans="1:31" x14ac:dyDescent="0.25">
      <c r="O2" s="138">
        <v>43631</v>
      </c>
    </row>
    <row r="3" spans="1:31" x14ac:dyDescent="0.25">
      <c r="O3" s="138">
        <v>43632</v>
      </c>
    </row>
    <row r="4" spans="1:31" x14ac:dyDescent="0.25">
      <c r="O4" s="138">
        <v>43633</v>
      </c>
    </row>
    <row r="5" spans="1:31" ht="15.75" thickBot="1" x14ac:dyDescent="0.3">
      <c r="C5" t="s">
        <v>28</v>
      </c>
      <c r="D5" t="s">
        <v>29</v>
      </c>
      <c r="E5" t="s">
        <v>30</v>
      </c>
      <c r="F5" t="s">
        <v>169</v>
      </c>
      <c r="O5" s="138">
        <v>43634</v>
      </c>
    </row>
    <row r="6" spans="1:31" ht="15.75" thickBot="1" x14ac:dyDescent="0.3">
      <c r="A6" s="164" t="s">
        <v>73</v>
      </c>
      <c r="B6" s="165"/>
      <c r="C6" s="165"/>
      <c r="D6" s="165"/>
      <c r="E6" s="165"/>
      <c r="F6" s="166"/>
      <c r="O6" s="138"/>
    </row>
    <row r="7" spans="1:31" x14ac:dyDescent="0.25">
      <c r="A7" s="151" t="s">
        <v>74</v>
      </c>
      <c r="B7" s="152"/>
      <c r="C7" s="37">
        <f>Table1[[#Totals],[Day 1]]+D7</f>
        <v>183.45</v>
      </c>
      <c r="D7" s="37">
        <f>Table1[[#Totals],[Day 2]]+E7</f>
        <v>103</v>
      </c>
      <c r="E7" s="37">
        <f>Table1[[#Totals],[Day 3]]</f>
        <v>46.25</v>
      </c>
      <c r="F7" s="18">
        <v>0</v>
      </c>
      <c r="J7" t="s">
        <v>28</v>
      </c>
      <c r="K7" t="s">
        <v>29</v>
      </c>
      <c r="L7" t="s">
        <v>30</v>
      </c>
      <c r="M7" t="s">
        <v>192</v>
      </c>
    </row>
    <row r="8" spans="1:31" ht="14.25" customHeight="1" thickBot="1" x14ac:dyDescent="0.3">
      <c r="A8" s="167" t="s">
        <v>75</v>
      </c>
      <c r="B8" s="168"/>
      <c r="C8" s="35">
        <f>Table1[[#Totals],[Estimate]]</f>
        <v>185</v>
      </c>
      <c r="D8" s="17">
        <f>C8/3*2</f>
        <v>123.33333333333333</v>
      </c>
      <c r="E8" s="17">
        <f>C8/3</f>
        <v>61.666666666666664</v>
      </c>
      <c r="F8" s="36">
        <v>0</v>
      </c>
    </row>
    <row r="9" spans="1:31" ht="14.25" customHeight="1" thickBot="1" x14ac:dyDescent="0.3">
      <c r="A9" s="167" t="s">
        <v>75</v>
      </c>
      <c r="B9" s="168"/>
      <c r="C9" s="35">
        <f>Table1[[#Totals],[Estimate]]</f>
        <v>185</v>
      </c>
      <c r="D9" s="17">
        <f>C9/3*2</f>
        <v>123.33333333333333</v>
      </c>
      <c r="E9" s="17">
        <f>C9/3</f>
        <v>61.666666666666664</v>
      </c>
      <c r="F9" s="36">
        <v>1</v>
      </c>
      <c r="I9" s="2"/>
      <c r="J9" s="35">
        <f>Table1[[#Totals],[Estimate]]</f>
        <v>185</v>
      </c>
      <c r="K9" s="2">
        <f>J9-L9</f>
        <v>123.33333333333334</v>
      </c>
      <c r="L9" s="17">
        <f>J9/3</f>
        <v>61.666666666666664</v>
      </c>
      <c r="M9">
        <v>0</v>
      </c>
    </row>
    <row r="10" spans="1:31" ht="15.75" thickBot="1" x14ac:dyDescent="0.3">
      <c r="A10" s="161" t="s">
        <v>10</v>
      </c>
      <c r="B10" s="162"/>
      <c r="C10" s="162"/>
      <c r="D10" s="162"/>
      <c r="E10" s="162"/>
      <c r="F10" s="163"/>
      <c r="J10" s="37">
        <v>0</v>
      </c>
      <c r="K10" s="37">
        <f>Table1[[#Totals],[Day 2]]</f>
        <v>56.75</v>
      </c>
      <c r="L10" s="37">
        <f>Table1[[#Totals],[Day 3]]</f>
        <v>46.25</v>
      </c>
      <c r="M10" s="18">
        <v>0</v>
      </c>
    </row>
    <row r="11" spans="1:31" x14ac:dyDescent="0.25">
      <c r="B11" s="136">
        <v>0</v>
      </c>
      <c r="C11" s="37">
        <f>Table14[[#Totals],[Day 1]]</f>
        <v>30</v>
      </c>
      <c r="D11" s="37">
        <f>Table14[[#Totals],[Day 2]]</f>
        <v>20.5</v>
      </c>
      <c r="E11" s="37">
        <f>Table14[[#Totals],[Day 3]]</f>
        <v>19</v>
      </c>
      <c r="F11" s="134">
        <v>0</v>
      </c>
    </row>
    <row r="12" spans="1:31" ht="15.75" thickBot="1" x14ac:dyDescent="0.3">
      <c r="A12" s="153" t="s">
        <v>24</v>
      </c>
      <c r="B12" s="154"/>
      <c r="C12" s="35"/>
      <c r="D12" s="35"/>
      <c r="E12" s="35"/>
      <c r="F12" s="133"/>
    </row>
    <row r="13" spans="1:31" ht="15.75" thickBot="1" x14ac:dyDescent="0.3">
      <c r="B13" s="135">
        <f>C13+E13</f>
        <v>73.333333333333329</v>
      </c>
      <c r="C13" s="35">
        <f>Table14[[#Totals],[Estimate]]</f>
        <v>55</v>
      </c>
      <c r="D13" s="35">
        <f>C13-E13</f>
        <v>36.666666666666671</v>
      </c>
      <c r="E13" s="35">
        <f>$C13/3</f>
        <v>18.333333333333332</v>
      </c>
      <c r="F13" s="133">
        <f>E13 - $C13/3</f>
        <v>0</v>
      </c>
    </row>
    <row r="14" spans="1:31" ht="15.75" thickBot="1" x14ac:dyDescent="0.3">
      <c r="A14" s="161" t="s">
        <v>14</v>
      </c>
      <c r="B14" s="162"/>
      <c r="C14" s="162"/>
      <c r="D14" s="162"/>
      <c r="E14" s="162"/>
      <c r="F14" s="163"/>
      <c r="J14" t="s">
        <v>28</v>
      </c>
      <c r="K14" t="s">
        <v>29</v>
      </c>
      <c r="L14" t="s">
        <v>30</v>
      </c>
      <c r="M14" t="s">
        <v>169</v>
      </c>
      <c r="N14" t="s">
        <v>174</v>
      </c>
      <c r="O14" t="s">
        <v>175</v>
      </c>
      <c r="P14" t="s">
        <v>176</v>
      </c>
      <c r="Q14" t="s">
        <v>177</v>
      </c>
      <c r="R14" t="s">
        <v>178</v>
      </c>
      <c r="S14" t="s">
        <v>179</v>
      </c>
      <c r="T14" t="s">
        <v>180</v>
      </c>
      <c r="U14" t="s">
        <v>181</v>
      </c>
      <c r="V14" t="s">
        <v>182</v>
      </c>
      <c r="W14" t="s">
        <v>183</v>
      </c>
      <c r="X14" t="s">
        <v>184</v>
      </c>
      <c r="Y14" t="s">
        <v>185</v>
      </c>
      <c r="Z14" t="s">
        <v>186</v>
      </c>
      <c r="AA14" t="s">
        <v>187</v>
      </c>
      <c r="AB14" t="s">
        <v>188</v>
      </c>
      <c r="AC14" t="s">
        <v>189</v>
      </c>
      <c r="AD14" t="s">
        <v>190</v>
      </c>
      <c r="AE14" t="s">
        <v>191</v>
      </c>
    </row>
    <row r="15" spans="1:31" x14ac:dyDescent="0.25">
      <c r="A15" s="151" t="s">
        <v>74</v>
      </c>
      <c r="B15" s="152"/>
      <c r="C15" s="37">
        <f>C16</f>
        <v>60</v>
      </c>
      <c r="D15" s="37">
        <f>Table145[[#Totals],[Day 1]]</f>
        <v>14.45</v>
      </c>
      <c r="E15" s="37">
        <f>Table145[[#Totals],[Day 2]]</f>
        <v>8.25</v>
      </c>
      <c r="F15" s="112">
        <f>Table145[[#Totals],[Day 3]]</f>
        <v>6.25</v>
      </c>
      <c r="J15">
        <v>185</v>
      </c>
      <c r="K15">
        <f>J15-AE15</f>
        <v>176.1904761904762</v>
      </c>
      <c r="L15">
        <f>K15-AE15</f>
        <v>167.38095238095241</v>
      </c>
      <c r="M15">
        <f>L15-AE15</f>
        <v>158.57142857142861</v>
      </c>
      <c r="N15">
        <f>M15-AE15</f>
        <v>149.76190476190482</v>
      </c>
      <c r="O15" s="34">
        <f>N15-AE15</f>
        <v>140.95238095238102</v>
      </c>
      <c r="P15">
        <f>O15-AE15</f>
        <v>132.14285714285722</v>
      </c>
      <c r="Q15">
        <f>P15-AE15</f>
        <v>123.33333333333341</v>
      </c>
      <c r="R15">
        <f>Q15-AE15</f>
        <v>114.5238095238096</v>
      </c>
      <c r="S15">
        <f>R15-AE15</f>
        <v>105.71428571428579</v>
      </c>
      <c r="T15">
        <f>S15-AE15</f>
        <v>96.904761904761983</v>
      </c>
      <c r="U15">
        <f>T15-AE15</f>
        <v>88.095238095238173</v>
      </c>
      <c r="V15">
        <f>U15-AE15</f>
        <v>79.285714285714363</v>
      </c>
      <c r="W15">
        <f>V15-AE15</f>
        <v>70.476190476190553</v>
      </c>
      <c r="X15">
        <f>W15-AE15</f>
        <v>61.666666666666742</v>
      </c>
      <c r="Y15">
        <f>X15-AE15</f>
        <v>52.857142857142932</v>
      </c>
      <c r="Z15">
        <f>Y15-AE15</f>
        <v>44.047619047619122</v>
      </c>
      <c r="AA15">
        <f>Z15-AE15</f>
        <v>35.238095238095312</v>
      </c>
      <c r="AB15">
        <f>AA15-AE15</f>
        <v>26.428571428571502</v>
      </c>
      <c r="AC15">
        <f>AB15-AE15</f>
        <v>17.619047619047691</v>
      </c>
      <c r="AD15">
        <f>AC15-AE15</f>
        <v>8.8095238095238813</v>
      </c>
      <c r="AE15">
        <f>J15/21</f>
        <v>8.8095238095238102</v>
      </c>
    </row>
    <row r="16" spans="1:31" ht="15.75" thickBot="1" x14ac:dyDescent="0.3">
      <c r="A16" s="153" t="s">
        <v>24</v>
      </c>
      <c r="B16" s="154"/>
      <c r="C16" s="35">
        <f>Table145[[#Totals],[Estimate]]</f>
        <v>60</v>
      </c>
      <c r="D16" s="35">
        <f>C16 - D15</f>
        <v>45.55</v>
      </c>
      <c r="E16" s="35">
        <f t="shared" ref="E16:F16" si="0">D16 - E15</f>
        <v>37.299999999999997</v>
      </c>
      <c r="F16" s="133">
        <f t="shared" si="0"/>
        <v>31.049999999999997</v>
      </c>
      <c r="J16">
        <v>54</v>
      </c>
      <c r="K16">
        <v>3</v>
      </c>
      <c r="L16">
        <v>24</v>
      </c>
      <c r="M16">
        <v>2</v>
      </c>
      <c r="N16">
        <v>23</v>
      </c>
      <c r="O16" s="34">
        <v>3</v>
      </c>
      <c r="P16">
        <v>2</v>
      </c>
      <c r="Q16">
        <v>1</v>
      </c>
      <c r="R16">
        <v>0</v>
      </c>
      <c r="S16">
        <v>2</v>
      </c>
      <c r="T16">
        <v>23</v>
      </c>
      <c r="U16">
        <v>3</v>
      </c>
      <c r="V16">
        <v>3</v>
      </c>
      <c r="W16">
        <v>3</v>
      </c>
      <c r="X16">
        <v>4</v>
      </c>
      <c r="Z16">
        <v>2</v>
      </c>
      <c r="AA16">
        <v>2</v>
      </c>
      <c r="AB16">
        <v>4</v>
      </c>
      <c r="AC16">
        <v>5</v>
      </c>
      <c r="AD16">
        <v>2</v>
      </c>
      <c r="AE16">
        <v>3</v>
      </c>
    </row>
    <row r="17" spans="1:21" ht="15.75" thickBot="1" x14ac:dyDescent="0.3">
      <c r="A17" s="153" t="s">
        <v>142</v>
      </c>
      <c r="B17" s="154"/>
      <c r="C17" s="35">
        <f>Table145[[#Totals],[Estimate]]</f>
        <v>60</v>
      </c>
      <c r="D17" s="35">
        <f>C17 - $C17/3</f>
        <v>40</v>
      </c>
      <c r="E17" s="35">
        <f>D17 - $C17/3</f>
        <v>20</v>
      </c>
      <c r="F17" s="133">
        <f>E17 - $C17/3</f>
        <v>0</v>
      </c>
    </row>
    <row r="18" spans="1:21" ht="19.5" customHeight="1" thickBot="1" x14ac:dyDescent="0.3">
      <c r="A18" s="161" t="s">
        <v>16</v>
      </c>
      <c r="B18" s="162"/>
      <c r="C18" s="162"/>
      <c r="D18" s="162"/>
      <c r="E18" s="162"/>
      <c r="F18" s="163"/>
      <c r="L18" s="77"/>
      <c r="P18" s="29"/>
      <c r="Q18" s="29"/>
      <c r="R18" s="29"/>
      <c r="S18" s="29"/>
      <c r="T18" s="29"/>
      <c r="U18" s="29"/>
    </row>
    <row r="19" spans="1:21" x14ac:dyDescent="0.25">
      <c r="A19" s="151" t="s">
        <v>74</v>
      </c>
      <c r="B19" s="152"/>
      <c r="C19" s="37">
        <f>C20</f>
        <v>20</v>
      </c>
      <c r="D19" s="37">
        <f>Table1456[[#Totals],[Day 1]]</f>
        <v>9</v>
      </c>
      <c r="E19" s="37">
        <f>Table1456[[#Totals],[Day 2]]</f>
        <v>9</v>
      </c>
      <c r="F19" s="112">
        <f>Table1456[[#Totals],[Day 2]]</f>
        <v>9</v>
      </c>
    </row>
    <row r="20" spans="1:21" ht="15.75" thickBot="1" x14ac:dyDescent="0.3">
      <c r="A20" s="153" t="s">
        <v>24</v>
      </c>
      <c r="B20" s="154"/>
      <c r="C20" s="35">
        <f>Table1456[[#Totals],[Estimate]]</f>
        <v>20</v>
      </c>
      <c r="D20" s="17">
        <f>C20/3+E20</f>
        <v>13.333333333333334</v>
      </c>
      <c r="E20" s="17">
        <f>C20/3</f>
        <v>6.666666666666667</v>
      </c>
      <c r="F20" s="36">
        <v>0</v>
      </c>
    </row>
    <row r="21" spans="1:21" ht="15.75" thickBot="1" x14ac:dyDescent="0.3">
      <c r="A21" s="158" t="s">
        <v>19</v>
      </c>
      <c r="B21" s="159"/>
      <c r="C21" s="159"/>
      <c r="D21" s="159"/>
      <c r="E21" s="159"/>
      <c r="F21" s="160"/>
    </row>
    <row r="22" spans="1:21" x14ac:dyDescent="0.25">
      <c r="A22" s="151" t="s">
        <v>74</v>
      </c>
      <c r="B22" s="152"/>
      <c r="C22" s="37">
        <f>C23</f>
        <v>45</v>
      </c>
      <c r="D22" s="37">
        <f>Table14567[[#Totals],[Day 1]]</f>
        <v>22</v>
      </c>
      <c r="E22" s="37">
        <f>Table14567[[#Totals],[Day 2]]</f>
        <v>12</v>
      </c>
      <c r="F22" s="112">
        <f>Table14567[[#Totals],[Day 3]]</f>
        <v>6</v>
      </c>
    </row>
    <row r="23" spans="1:21" ht="15.75" thickBot="1" x14ac:dyDescent="0.3">
      <c r="A23" s="153" t="s">
        <v>24</v>
      </c>
      <c r="B23" s="154"/>
      <c r="C23" s="35">
        <f>Table14567[[#Totals],[Estimate]]</f>
        <v>45</v>
      </c>
      <c r="D23" s="17">
        <f>C23/3+E23</f>
        <v>30</v>
      </c>
      <c r="E23" s="17">
        <f>C23/3</f>
        <v>15</v>
      </c>
      <c r="F23" s="36">
        <v>0</v>
      </c>
    </row>
    <row r="24" spans="1:21" ht="15.75" thickBot="1" x14ac:dyDescent="0.3">
      <c r="A24" s="158" t="s">
        <v>20</v>
      </c>
      <c r="B24" s="159"/>
      <c r="C24" s="159"/>
      <c r="D24" s="159"/>
      <c r="E24" s="159"/>
      <c r="F24" s="160"/>
    </row>
    <row r="25" spans="1:21" x14ac:dyDescent="0.25">
      <c r="A25" s="151" t="s">
        <v>74</v>
      </c>
      <c r="B25" s="152"/>
      <c r="C25" s="37">
        <f>Table14[[#Totals],[Day 1]]</f>
        <v>30</v>
      </c>
      <c r="D25" s="37">
        <f>SUM('Sprint 1'!M26:O26)</f>
        <v>0</v>
      </c>
      <c r="E25" s="37">
        <f>Table14[[#Totals],[Day 3]]</f>
        <v>19</v>
      </c>
      <c r="F25" s="18">
        <f>0</f>
        <v>0</v>
      </c>
    </row>
    <row r="26" spans="1:21" ht="15.75" thickBot="1" x14ac:dyDescent="0.3">
      <c r="A26" s="153" t="s">
        <v>24</v>
      </c>
      <c r="B26" s="154"/>
      <c r="C26" s="35">
        <f>Table14[[#Totals],[Estimate]]</f>
        <v>55</v>
      </c>
      <c r="D26" s="17">
        <f>C26/3+E26</f>
        <v>36.666666666666664</v>
      </c>
      <c r="E26" s="17">
        <f>C26/3</f>
        <v>18.333333333333332</v>
      </c>
      <c r="F26" s="36">
        <v>0</v>
      </c>
    </row>
    <row r="27" spans="1:21" ht="15.75" thickBot="1" x14ac:dyDescent="0.3">
      <c r="A27" s="155" t="s">
        <v>22</v>
      </c>
      <c r="B27" s="156"/>
      <c r="C27" s="156"/>
      <c r="D27" s="156"/>
      <c r="E27" s="156"/>
      <c r="F27" s="157"/>
    </row>
    <row r="28" spans="1:21" x14ac:dyDescent="0.25">
      <c r="A28" s="151" t="s">
        <v>74</v>
      </c>
      <c r="B28" s="152"/>
      <c r="C28" s="37">
        <f>Table14[[#Totals],[Day 1]]</f>
        <v>30</v>
      </c>
      <c r="D28" s="37">
        <f>SUM('Sprint 1'!M29:O29)</f>
        <v>0</v>
      </c>
      <c r="E28" s="37">
        <f>Table14[[#Totals],[Day 3]]</f>
        <v>19</v>
      </c>
      <c r="F28" s="18">
        <f>0</f>
        <v>0</v>
      </c>
    </row>
    <row r="29" spans="1:21" ht="15.75" thickBot="1" x14ac:dyDescent="0.3">
      <c r="A29" s="153" t="s">
        <v>24</v>
      </c>
      <c r="B29" s="154"/>
      <c r="C29" s="35">
        <f>Table14[[#Totals],[Estimate]]</f>
        <v>55</v>
      </c>
      <c r="D29" s="17">
        <f>C29/3+E29</f>
        <v>36.666666666666664</v>
      </c>
      <c r="E29" s="17">
        <f>C29/3</f>
        <v>18.333333333333332</v>
      </c>
      <c r="F29" s="36">
        <v>0</v>
      </c>
    </row>
    <row r="30" spans="1:21" ht="15.75" thickBot="1" x14ac:dyDescent="0.3">
      <c r="A30" s="155" t="s">
        <v>23</v>
      </c>
      <c r="B30" s="156"/>
      <c r="C30" s="156"/>
      <c r="D30" s="156"/>
      <c r="E30" s="156"/>
      <c r="F30" s="157"/>
    </row>
    <row r="31" spans="1:21" x14ac:dyDescent="0.25">
      <c r="A31" s="151" t="s">
        <v>74</v>
      </c>
      <c r="B31" s="152"/>
      <c r="C31" s="37">
        <f>Table14[[#Totals],[Day 1]]</f>
        <v>30</v>
      </c>
      <c r="D31" s="37">
        <f>SUM('Sprint 1'!M32:O32)</f>
        <v>0</v>
      </c>
      <c r="E31" s="37">
        <f>Table14[[#Totals],[Day 3]]</f>
        <v>19</v>
      </c>
      <c r="F31" s="18">
        <f>0</f>
        <v>0</v>
      </c>
    </row>
    <row r="32" spans="1:21" ht="15.75" thickBot="1" x14ac:dyDescent="0.3">
      <c r="A32" s="153" t="s">
        <v>24</v>
      </c>
      <c r="B32" s="154"/>
      <c r="C32" s="35">
        <f>Table14[[#Totals],[Estimate]]</f>
        <v>55</v>
      </c>
      <c r="D32" s="17">
        <f>C32/3+E32</f>
        <v>36.666666666666664</v>
      </c>
      <c r="E32" s="17">
        <f>C32/3</f>
        <v>18.333333333333332</v>
      </c>
      <c r="F32" s="36">
        <v>0</v>
      </c>
    </row>
    <row r="36" spans="10:15" ht="15.75" thickBot="1" x14ac:dyDescent="0.3"/>
    <row r="37" spans="10:15" ht="32.25" thickBot="1" x14ac:dyDescent="0.3">
      <c r="J37" s="20" t="s">
        <v>76</v>
      </c>
      <c r="K37" s="21" t="s">
        <v>77</v>
      </c>
      <c r="L37" s="21" t="s">
        <v>78</v>
      </c>
      <c r="M37" s="22" t="s">
        <v>79</v>
      </c>
      <c r="N37" s="21" t="s">
        <v>80</v>
      </c>
      <c r="O37" s="33" t="s">
        <v>81</v>
      </c>
    </row>
    <row r="38" spans="10:15" ht="102.75" thickBot="1" x14ac:dyDescent="0.3">
      <c r="J38" s="27" t="s">
        <v>82</v>
      </c>
      <c r="K38" s="25" t="s">
        <v>83</v>
      </c>
      <c r="L38" s="31" t="s">
        <v>84</v>
      </c>
      <c r="M38" s="26" t="s">
        <v>85</v>
      </c>
      <c r="O38" s="28" t="s">
        <v>86</v>
      </c>
    </row>
    <row r="39" spans="10:15" ht="78" thickBot="1" x14ac:dyDescent="0.3">
      <c r="J39" s="27" t="s">
        <v>87</v>
      </c>
      <c r="K39" s="25" t="s">
        <v>88</v>
      </c>
      <c r="L39" s="32" t="s">
        <v>89</v>
      </c>
      <c r="M39" s="26" t="s">
        <v>85</v>
      </c>
    </row>
    <row r="40" spans="10:15" ht="370.5" thickBot="1" x14ac:dyDescent="0.3">
      <c r="J40" s="19" t="s">
        <v>90</v>
      </c>
      <c r="K40" s="25" t="s">
        <v>91</v>
      </c>
      <c r="L40" s="30" t="s">
        <v>92</v>
      </c>
      <c r="M40" s="23" t="s">
        <v>93</v>
      </c>
      <c r="O40" s="29" t="s">
        <v>94</v>
      </c>
    </row>
    <row r="41" spans="10:15" ht="15.75" thickBot="1" x14ac:dyDescent="0.3">
      <c r="J41" s="19" t="s">
        <v>95</v>
      </c>
      <c r="K41" s="25" t="s">
        <v>96</v>
      </c>
      <c r="L41" s="23" t="s">
        <v>97</v>
      </c>
    </row>
    <row r="42" spans="10:15" ht="15.75" thickBot="1" x14ac:dyDescent="0.3">
      <c r="J42" s="19" t="s">
        <v>98</v>
      </c>
      <c r="K42" s="25" t="s">
        <v>99</v>
      </c>
      <c r="L42" s="23" t="s">
        <v>97</v>
      </c>
    </row>
    <row r="43" spans="10:15" ht="60.75" thickBot="1" x14ac:dyDescent="0.3">
      <c r="J43" s="19" t="s">
        <v>100</v>
      </c>
      <c r="K43" s="25" t="s">
        <v>101</v>
      </c>
      <c r="L43" s="26" t="s">
        <v>102</v>
      </c>
    </row>
    <row r="44" spans="10:15" ht="15.75" thickBot="1" x14ac:dyDescent="0.3">
      <c r="J44" s="19" t="s">
        <v>103</v>
      </c>
      <c r="K44" s="25" t="s">
        <v>104</v>
      </c>
    </row>
    <row r="45" spans="10:15" ht="15.75" thickBot="1" x14ac:dyDescent="0.3">
      <c r="J45" s="19" t="s">
        <v>105</v>
      </c>
      <c r="K45" s="25" t="s">
        <v>106</v>
      </c>
    </row>
    <row r="46" spans="10:15" ht="30.75" thickBot="1" x14ac:dyDescent="0.3">
      <c r="J46" s="19" t="s">
        <v>107</v>
      </c>
      <c r="K46" s="25" t="s">
        <v>108</v>
      </c>
    </row>
    <row r="47" spans="10:15" ht="15.75" thickBot="1" x14ac:dyDescent="0.3">
      <c r="J47" s="19" t="s">
        <v>109</v>
      </c>
      <c r="K47" s="24" t="s">
        <v>110</v>
      </c>
    </row>
    <row r="48" spans="10:15" ht="15.75" thickBot="1" x14ac:dyDescent="0.3">
      <c r="J48" s="19" t="s">
        <v>111</v>
      </c>
      <c r="K48" s="24" t="s">
        <v>112</v>
      </c>
    </row>
    <row r="49" spans="10:13" ht="30.75" thickBot="1" x14ac:dyDescent="0.3">
      <c r="J49" s="19" t="s">
        <v>113</v>
      </c>
      <c r="K49" s="24" t="s">
        <v>114</v>
      </c>
    </row>
    <row r="50" spans="10:13" ht="15.75" thickBot="1" x14ac:dyDescent="0.3">
      <c r="J50" s="19" t="s">
        <v>115</v>
      </c>
      <c r="K50" s="24" t="s">
        <v>116</v>
      </c>
    </row>
    <row r="51" spans="10:13" ht="15.75" thickBot="1" x14ac:dyDescent="0.3">
      <c r="J51" s="19" t="s">
        <v>117</v>
      </c>
      <c r="K51" s="24" t="s">
        <v>118</v>
      </c>
    </row>
    <row r="52" spans="10:13" ht="30.75" thickBot="1" x14ac:dyDescent="0.3">
      <c r="J52" s="19" t="s">
        <v>119</v>
      </c>
      <c r="K52" s="24" t="s">
        <v>120</v>
      </c>
    </row>
    <row r="53" spans="10:13" ht="15.75" thickBot="1" x14ac:dyDescent="0.3">
      <c r="J53" s="19" t="s">
        <v>121</v>
      </c>
      <c r="K53" s="24" t="s">
        <v>122</v>
      </c>
    </row>
    <row r="54" spans="10:13" ht="15.75" thickBot="1" x14ac:dyDescent="0.3">
      <c r="J54" s="19" t="s">
        <v>123</v>
      </c>
      <c r="K54" s="24" t="s">
        <v>124</v>
      </c>
    </row>
    <row r="55" spans="10:13" ht="30.75" thickBot="1" x14ac:dyDescent="0.3">
      <c r="J55" s="19" t="s">
        <v>125</v>
      </c>
      <c r="K55" s="24" t="s">
        <v>126</v>
      </c>
    </row>
    <row r="56" spans="10:13" ht="15.75" thickBot="1" x14ac:dyDescent="0.3">
      <c r="J56" s="19" t="s">
        <v>127</v>
      </c>
      <c r="K56" s="24" t="s">
        <v>128</v>
      </c>
    </row>
    <row r="57" spans="10:13" ht="15.75" thickBot="1" x14ac:dyDescent="0.3">
      <c r="J57" s="19" t="s">
        <v>129</v>
      </c>
      <c r="K57" s="24" t="s">
        <v>130</v>
      </c>
    </row>
    <row r="58" spans="10:13" ht="45.75" thickBot="1" x14ac:dyDescent="0.3">
      <c r="J58" s="19" t="s">
        <v>131</v>
      </c>
      <c r="K58" s="24" t="s">
        <v>132</v>
      </c>
      <c r="M58" s="24" t="s">
        <v>133</v>
      </c>
    </row>
  </sheetData>
  <mergeCells count="25">
    <mergeCell ref="A6:F6"/>
    <mergeCell ref="A7:B7"/>
    <mergeCell ref="A8:B8"/>
    <mergeCell ref="A9:B9"/>
    <mergeCell ref="A10:F10"/>
    <mergeCell ref="A23:B23"/>
    <mergeCell ref="A12:B12"/>
    <mergeCell ref="A14:F14"/>
    <mergeCell ref="A15:B15"/>
    <mergeCell ref="A16:B16"/>
    <mergeCell ref="A17:B17"/>
    <mergeCell ref="A18:F18"/>
    <mergeCell ref="A19:B19"/>
    <mergeCell ref="A20:B20"/>
    <mergeCell ref="A21:F21"/>
    <mergeCell ref="A22:B22"/>
    <mergeCell ref="A30:F30"/>
    <mergeCell ref="A31:B31"/>
    <mergeCell ref="A32:B32"/>
    <mergeCell ref="A24:F24"/>
    <mergeCell ref="A25:B25"/>
    <mergeCell ref="A26:B26"/>
    <mergeCell ref="A27:F27"/>
    <mergeCell ref="A28:B28"/>
    <mergeCell ref="A29:B29"/>
  </mergeCells>
  <phoneticPr fontId="24" type="noConversion"/>
  <hyperlinks>
    <hyperlink ref="O40" r:id="rId1" display="https://codehollow.com/scrum-meeting-templates/sprint-review-template/" xr:uid="{61D414A1-CF24-4EA3-830B-C5780F722988}"/>
    <hyperlink ref="O38" r:id="rId2" xr:uid="{98B8076C-8C6D-4988-A42B-90AA1D3E8C72}"/>
  </hyperlinks>
  <pageMargins left="0.7" right="0.7" top="0.75" bottom="0.75" header="0.3" footer="0.3"/>
  <pageSetup paperSize="9"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Final</vt:lpstr>
      <vt:lpstr>Sprint 1</vt:lpstr>
      <vt:lpstr>Sprint 2</vt:lpstr>
      <vt:lpstr>Sprint 3</vt:lpstr>
      <vt:lpstr>Sprint 4</vt:lpstr>
      <vt:lpstr>Sprint 5</vt:lpstr>
      <vt:lpstr>r1</vt:lpstr>
      <vt:lpstr>r1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Dima Bors</dc:creator>
  <cp:keywords/>
  <dc:description/>
  <cp:lastModifiedBy>Dima Bors</cp:lastModifiedBy>
  <cp:revision/>
  <dcterms:created xsi:type="dcterms:W3CDTF">2019-03-29T07:37:19Z</dcterms:created>
  <dcterms:modified xsi:type="dcterms:W3CDTF">2019-06-07T02:36:44Z</dcterms:modified>
  <cp:category/>
  <cp:contentStatus/>
</cp:coreProperties>
</file>